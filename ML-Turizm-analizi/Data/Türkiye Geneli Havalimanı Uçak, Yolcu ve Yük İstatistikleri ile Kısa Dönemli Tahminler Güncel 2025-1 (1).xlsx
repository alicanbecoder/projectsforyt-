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çekleşme ve Tahmin Serisi" sheetId="1" r:id="rId4"/>
    <sheet state="visible" name="Tanımlamalar" sheetId="2" r:id="rId5"/>
    <sheet state="visible" name="Havalimanları Listesi" sheetId="3" r:id="rId6"/>
  </sheets>
  <definedNames>
    <definedName localSheetId="2" name="__a4">#REF!</definedName>
    <definedName name="_BQ4.31">#REF!</definedName>
    <definedName name="Sorgu1">#REF!</definedName>
    <definedName localSheetId="0" name="A">#REF!</definedName>
    <definedName localSheetId="1" name="_a4">#REF!</definedName>
    <definedName localSheetId="0" name="_BQ4.22">#REF!</definedName>
    <definedName localSheetId="0" name="as">#REF!</definedName>
    <definedName localSheetId="1" name="P">#REF!</definedName>
    <definedName localSheetId="0" name="DDD">#REF!</definedName>
    <definedName localSheetId="2" name="___a4">#REF!</definedName>
    <definedName localSheetId="0" name="_________a4">#REF!</definedName>
    <definedName localSheetId="2" name="_BQ4.11">#REF!</definedName>
    <definedName localSheetId="0" name="_BQ4.10">#REF!</definedName>
    <definedName localSheetId="2" name="_BQ4.7">#REF!</definedName>
    <definedName localSheetId="1" name="_BQ4.27">#REF!</definedName>
    <definedName localSheetId="1" name="YOLCU_E2">#REF!</definedName>
    <definedName name="K">#REF!</definedName>
    <definedName localSheetId="0" name="asdad">#REF!</definedName>
    <definedName localSheetId="2" name="YOLCU_E2">#REF!</definedName>
    <definedName localSheetId="2" name="_______a4">#REF!</definedName>
    <definedName localSheetId="0" name="şş">#REF!</definedName>
    <definedName localSheetId="2" name="_Fill">#REF!</definedName>
    <definedName name="ffff">#REF!</definedName>
    <definedName localSheetId="0" name="____a4">#REF!</definedName>
    <definedName localSheetId="1" name="_BQ4.6">#REF!</definedName>
    <definedName localSheetId="1" name="___a4">#REF!</definedName>
    <definedName name="_BQ4.12">#REF!</definedName>
    <definedName localSheetId="0" name="_a4">#REF!</definedName>
    <definedName localSheetId="2" name="a4C1">#REF!</definedName>
    <definedName name="as">#REF!</definedName>
    <definedName localSheetId="0" name="_BQ4.12">#REF!</definedName>
    <definedName localSheetId="2" name="ğ">#REF!</definedName>
    <definedName localSheetId="1" name="S_27">#REF!</definedName>
    <definedName localSheetId="2" name="DALLLLLL">#REF!</definedName>
    <definedName localSheetId="1" name="S___35">#REF!</definedName>
    <definedName localSheetId="2" name="________a4">#REF!</definedName>
    <definedName localSheetId="2" name="_BQ4.31">#REF!</definedName>
    <definedName localSheetId="1" name="______a4">#REF!</definedName>
    <definedName localSheetId="2" name="_BQ4.17">#REF!</definedName>
    <definedName localSheetId="2" name="_BQ4.25">#REF!</definedName>
    <definedName name="TABLO">#REF!</definedName>
    <definedName localSheetId="2" name="_BQ4.30">#REF!</definedName>
    <definedName localSheetId="1" name="_BQ4.4">#REF!</definedName>
    <definedName localSheetId="0" name="NBNA141414">#REF!</definedName>
    <definedName localSheetId="0" name="_BQ4.33">#REF!</definedName>
    <definedName name="milas">#REF!</definedName>
    <definedName localSheetId="1" name="_BQ4.13">#REF!</definedName>
    <definedName localSheetId="1" name="K">#REF!</definedName>
    <definedName name="__a4">#REF!</definedName>
    <definedName localSheetId="1" name="_BQ4.25">#REF!</definedName>
    <definedName localSheetId="1" name="hazdet">#REF!</definedName>
    <definedName localSheetId="2" name="_BQ4.1">#REF!</definedName>
    <definedName localSheetId="0" name="hazdet">#REF!</definedName>
    <definedName localSheetId="2" name="NBNA141414">#REF!</definedName>
    <definedName localSheetId="0" name="_BQ4.19">#REF!</definedName>
    <definedName name="_BQ4.11">#REF!</definedName>
    <definedName localSheetId="1" name="Sorgu1">#REF!</definedName>
    <definedName localSheetId="2" name="tüfeza">#REF!</definedName>
    <definedName localSheetId="1" name="gsmh">#REF!</definedName>
    <definedName localSheetId="2" name="A">#REF!</definedName>
    <definedName name="_BQ4.20">#REF!</definedName>
    <definedName localSheetId="0" name="___a4">#REF!</definedName>
    <definedName name="_Fill">#REF!</definedName>
    <definedName localSheetId="0" name="hazfaizd">#REF!</definedName>
    <definedName localSheetId="2" name="Adana_4__Esenboğa_1__Dalaman_2__Erzurum_2__Gaziantep_1__A.Menderes_7__M.Bodrum_2__Trabzon_2__Çardak_5__Kayseri_6__GAP_1__Merzifon_2__Hatay_2">#REF!</definedName>
    <definedName localSheetId="1" name="_BQ4.9">#REF!</definedName>
    <definedName localSheetId="2" name="ASDDADSADAS">#REF!</definedName>
    <definedName name="gsmh">#REF!</definedName>
    <definedName name="_BQ4.32">#REF!</definedName>
    <definedName localSheetId="2" name="_BQ4.27">#REF!</definedName>
    <definedName localSheetId="0" name="_BQ4.20">#REF!</definedName>
    <definedName localSheetId="1" name="_BQ4.18">#REF!</definedName>
    <definedName localSheetId="0" name="_BQ4.8">#REF!</definedName>
    <definedName localSheetId="1" name="NBNA141414">#REF!</definedName>
    <definedName name="tüfeza">#REF!</definedName>
    <definedName localSheetId="1" name="mil">#REF!</definedName>
    <definedName localSheetId="1" name="_Fill">#REF!</definedName>
    <definedName localSheetId="1" name="A">#REF!</definedName>
    <definedName name="S_30">#REF!</definedName>
    <definedName localSheetId="2" name="_BQ4.8">#REF!</definedName>
    <definedName localSheetId="1" name="şş">#REF!</definedName>
    <definedName localSheetId="2" name="_BQ4.2">#REF!</definedName>
    <definedName localSheetId="1" name="_BQ4.22">#REF!</definedName>
    <definedName localSheetId="2" name="Sorgu1">#REF!</definedName>
    <definedName localSheetId="0" name="_BQ4.17">#REF!</definedName>
    <definedName name="_BQ4.30">#REF!</definedName>
    <definedName name="AAAAAAAAAAAAAAAAAAAA">#REF!</definedName>
    <definedName name="_a4">#REF!</definedName>
    <definedName localSheetId="0" name="_BQ4.9">#REF!</definedName>
    <definedName localSheetId="1" name="_______a4">#REF!</definedName>
    <definedName localSheetId="1" name="_____a4">#REF!</definedName>
    <definedName localSheetId="1" name="_BQ4.11">#REF!</definedName>
    <definedName localSheetId="2" name="_BQ4.14">#REF!</definedName>
    <definedName localSheetId="1" name="YOLCU2">#REF!</definedName>
    <definedName name="_BQ4.17">#REF!</definedName>
    <definedName localSheetId="2" name="_BQ4.22">#REF!</definedName>
    <definedName localSheetId="2" name="_____a4">#REF!</definedName>
    <definedName name="_BQ4.34">#REF!</definedName>
    <definedName localSheetId="0" name="_BQ4.7">#REF!</definedName>
    <definedName localSheetId="1" name="_BQ4.32">#REF!</definedName>
    <definedName name="S___35">#REF!</definedName>
    <definedName localSheetId="0" name="_____a4">#REF!</definedName>
    <definedName localSheetId="0" name="ffff">#REF!</definedName>
    <definedName name="_BQ4.18">#REF!</definedName>
    <definedName name="ASDDADSADAS">#REF!</definedName>
    <definedName localSheetId="1" name="S_9">#REF!</definedName>
    <definedName localSheetId="0" name="cari">#REF!</definedName>
    <definedName localSheetId="0" name="_BQ4.3">#REF!</definedName>
    <definedName localSheetId="1" name="_BQ4.14">#REF!</definedName>
    <definedName localSheetId="0" name="milas">#REF!</definedName>
    <definedName name="_____a4">#REF!</definedName>
    <definedName name="P">#REF!</definedName>
    <definedName localSheetId="1" name="DUNYA">#REF!</definedName>
    <definedName localSheetId="0" name="________a4">#REF!</definedName>
    <definedName localSheetId="0" name="mil">#REF!</definedName>
    <definedName name="hazdet">#REF!</definedName>
    <definedName localSheetId="0" name="S_27">#REF!</definedName>
    <definedName localSheetId="2" name="_BQ4.23">#REF!</definedName>
    <definedName name="döviz">#REF!</definedName>
    <definedName localSheetId="0" name="DUNYA">#REF!</definedName>
    <definedName localSheetId="1" name="cari">#REF!</definedName>
    <definedName localSheetId="0" name="_BQ4.18">#REF!</definedName>
    <definedName name="haz">#REF!</definedName>
    <definedName name="____a4">#REF!</definedName>
    <definedName name="_BQ4.33">#REF!</definedName>
    <definedName localSheetId="1" name="_BQ4.7">#REF!</definedName>
    <definedName localSheetId="2" name="YOLCU2">#REF!</definedName>
    <definedName localSheetId="0" name="K">#REF!</definedName>
    <definedName localSheetId="2" name="S_27">#REF!</definedName>
    <definedName localSheetId="1" name="_BQ4.31">#REF!</definedName>
    <definedName localSheetId="1" name="_BQ4.12">#REF!</definedName>
    <definedName localSheetId="0" name="AAAAAAAAAAAAAAAAAAAA">#REF!</definedName>
    <definedName localSheetId="1" name="gecelik">#REF!</definedName>
    <definedName name="DDD">#REF!</definedName>
    <definedName localSheetId="2" name="____a4">#REF!</definedName>
    <definedName localSheetId="1" name="tüfeza">#REF!</definedName>
    <definedName name="_BQ4.1">#REF!</definedName>
    <definedName name="guj">#REF!</definedName>
    <definedName localSheetId="2" name="_BQ4.28">#REF!</definedName>
    <definedName localSheetId="0" name="P">#REF!</definedName>
    <definedName localSheetId="1" name="DALLLLLL">#REF!</definedName>
    <definedName localSheetId="2" name="_________a4">#REF!</definedName>
    <definedName localSheetId="2" name="_BQ4.34">#REF!</definedName>
    <definedName localSheetId="1" name="tufed">#REF!</definedName>
    <definedName localSheetId="1" name="_BQ4.30">#REF!</definedName>
    <definedName localSheetId="1" name="ğ">#REF!</definedName>
    <definedName name="_BQ4.6">#REF!</definedName>
    <definedName name="Adana_4__Esenboğa_1__Dalaman_2__Erzurum_2__Gaziantep_1__A.Menderes_7__M.Bodrum_2__Trabzon_2__Çardak_5__Kayseri_6__GAP_1__Merzifon_2__Hatay_2">#REF!</definedName>
    <definedName localSheetId="0" name="_BQ4.14">#REF!</definedName>
    <definedName name="A">#REF!</definedName>
    <definedName name="YOLCU">#REF!</definedName>
    <definedName name="_BQ4.16">#REF!</definedName>
    <definedName name="_BQ4.2">#REF!</definedName>
    <definedName localSheetId="1" name="ıooo">#REF!</definedName>
    <definedName localSheetId="2" name="_BQ4.20">#REF!</definedName>
    <definedName localSheetId="2" name="as">#REF!</definedName>
    <definedName name="___a4">#REF!</definedName>
    <definedName localSheetId="1" name="__a4">#REF!</definedName>
    <definedName localSheetId="0" name="_BQ4.32">#REF!</definedName>
    <definedName localSheetId="1" name="_BQ4.34">#REF!</definedName>
    <definedName name="________a4">#REF!</definedName>
    <definedName localSheetId="2" name="S_30">#REF!</definedName>
    <definedName localSheetId="1" name="_________a4">#REF!</definedName>
    <definedName name="_BQ4.27">#REF!</definedName>
    <definedName name="mil">#REF!</definedName>
    <definedName localSheetId="2" name="YOLCU">#REF!</definedName>
    <definedName localSheetId="2" name="K">#REF!</definedName>
    <definedName localSheetId="1" name="_BQ4.2">#REF!</definedName>
    <definedName localSheetId="0" name="_Fill">#REF!</definedName>
    <definedName name="_BQ4.5">#REF!</definedName>
    <definedName localSheetId="2" name="AAAAAAAAAAAAAAAAAAAA">#REF!</definedName>
    <definedName localSheetId="1" name="sa">#REF!</definedName>
    <definedName localSheetId="1" name="_BQ4.3">#REF!</definedName>
    <definedName localSheetId="0" name="Adana_4__Esenboğa_1__Dalaman_2__Erzurum_2__Gaziantep_1__A.Menderes_7__M.Bodrum_2__Trabzon_2__Çardak_5__Kayseri_6__GAP_1__Merzifon_2__Hatay_2">#REF!</definedName>
    <definedName localSheetId="2" name="asdad">#REF!</definedName>
    <definedName localSheetId="0" name="_BQ4.6">#REF!</definedName>
    <definedName name="_BQ4.15">#REF!</definedName>
    <definedName name="_BQ4.22">#REF!</definedName>
    <definedName localSheetId="0" name="_BQ4.16">#REF!</definedName>
    <definedName localSheetId="0" name="_BQ4.5">#REF!</definedName>
    <definedName localSheetId="1" name="hazfaizd">#REF!</definedName>
    <definedName localSheetId="2" name="haz">#REF!</definedName>
    <definedName localSheetId="1" name="_BQ4.29">#REF!</definedName>
    <definedName localSheetId="0" name="ğ">#REF!</definedName>
    <definedName localSheetId="2" name="milas">#REF!</definedName>
    <definedName localSheetId="2" name="_BQ4.10">#REF!</definedName>
    <definedName localSheetId="2" name="gecelik">#REF!</definedName>
    <definedName localSheetId="2" name="S___35">#REF!</definedName>
    <definedName localSheetId="1" name="_BQ4.1">#REF!</definedName>
    <definedName localSheetId="1" name="_BQ4.23">#REF!</definedName>
    <definedName localSheetId="0" name="gsmh">#REF!</definedName>
    <definedName localSheetId="0" name="YOLCU">#REF!</definedName>
    <definedName localSheetId="0" name="_BQ4.21">#REF!</definedName>
    <definedName name="_BQ4.26">#REF!</definedName>
    <definedName name="a4C1">#REF!</definedName>
    <definedName localSheetId="1" name="_BQ4.19">#REF!</definedName>
    <definedName localSheetId="1" name="haz">#REF!</definedName>
    <definedName localSheetId="0" name="_BQ4.4">#REF!</definedName>
    <definedName localSheetId="2" name="_BQ4.12">#REF!</definedName>
    <definedName name="_BQ4.8">#REF!</definedName>
    <definedName localSheetId="0" name="ASDDADSADAS">#REF!</definedName>
    <definedName localSheetId="1" name="ASDDADSADAS">#REF!</definedName>
    <definedName localSheetId="2" name="cari">#REF!</definedName>
    <definedName localSheetId="0" name="döviz">#REF!</definedName>
    <definedName name="_BQ4.25">#REF!</definedName>
    <definedName localSheetId="2" name="_BQ4.15">#REF!</definedName>
    <definedName localSheetId="1" name="_BQ4.10">#REF!</definedName>
    <definedName localSheetId="2" name="_BQ4.26">#REF!</definedName>
    <definedName name="asdad">#REF!</definedName>
    <definedName localSheetId="2" name="tufed">#REF!</definedName>
    <definedName localSheetId="2" name="_BQ4.32">#REF!</definedName>
    <definedName localSheetId="0" name="DALLLLLL">#REF!</definedName>
    <definedName localSheetId="0" name="ıooo">#REF!</definedName>
    <definedName localSheetId="0" name="_BQ4.25">#REF!</definedName>
    <definedName localSheetId="1" name="guj">#REF!</definedName>
    <definedName localSheetId="0" name="_BQ4.24">#REF!</definedName>
    <definedName localSheetId="1" name="YOLCU">#REF!</definedName>
    <definedName localSheetId="2" name="hazdet">#REF!</definedName>
    <definedName localSheetId="2" name="_BQ4.13">#REF!</definedName>
    <definedName localSheetId="0" name="_BQ4.11">#REF!</definedName>
    <definedName name="tufed">#REF!</definedName>
    <definedName name="_BQ4.21">#REF!</definedName>
    <definedName name="şş">#REF!</definedName>
    <definedName localSheetId="0" name="_BQ4.2">#REF!</definedName>
    <definedName name="NBNA141414">#REF!</definedName>
    <definedName localSheetId="0" name="haz">#REF!</definedName>
    <definedName name="_BQ4.14">#REF!</definedName>
    <definedName localSheetId="2" name="_BQ4.3">#REF!</definedName>
    <definedName name="S_27">#REF!</definedName>
    <definedName name="_BQ4.7">#REF!</definedName>
    <definedName localSheetId="1" name="DDD">#REF!</definedName>
    <definedName name="_BQ4.19">#REF!</definedName>
    <definedName localSheetId="1" name="________a4">#REF!</definedName>
    <definedName localSheetId="2" name="sa">#REF!</definedName>
    <definedName localSheetId="0" name="YOLCU2">#REF!</definedName>
    <definedName localSheetId="1" name="döviz">#REF!</definedName>
    <definedName localSheetId="1" name="_BQ4.20">#REF!</definedName>
    <definedName localSheetId="1" name="as">#REF!</definedName>
    <definedName localSheetId="1" name="_BQ4.16">#REF!</definedName>
    <definedName localSheetId="1" name="_BQ4.24">#REF!</definedName>
    <definedName localSheetId="0" name="_BQ4.29">#REF!</definedName>
    <definedName localSheetId="2" name="_BQ4.29">#REF!</definedName>
    <definedName localSheetId="1" name="_BQ4.5">#REF!</definedName>
    <definedName localSheetId="2" name="_BQ4.9">#REF!</definedName>
    <definedName localSheetId="0" name="__a4">#REF!</definedName>
    <definedName localSheetId="2" name="_BQ4.33">#REF!</definedName>
    <definedName localSheetId="0" name="S_30">#REF!</definedName>
    <definedName name="_BQ4.28">#REF!</definedName>
    <definedName localSheetId="2" name="hazfaizd">#REF!</definedName>
    <definedName name="Z">#REF!</definedName>
    <definedName localSheetId="0" name="______a4">#REF!</definedName>
    <definedName name="_______a4">#REF!</definedName>
    <definedName localSheetId="0" name="_BQ4.15">#REF!</definedName>
    <definedName name="DUNYA">#REF!</definedName>
    <definedName localSheetId="2" name="______a4">#REF!</definedName>
    <definedName localSheetId="0" name="a4C1">#REF!</definedName>
    <definedName localSheetId="0" name="tüfeza">#REF!</definedName>
    <definedName localSheetId="2" name="DUNYA">#REF!</definedName>
    <definedName name="ğ">#REF!</definedName>
    <definedName localSheetId="1" name="ffff">#REF!</definedName>
    <definedName localSheetId="1" name="_BQ4.26">#REF!</definedName>
    <definedName localSheetId="2" name="ıooo">#REF!</definedName>
    <definedName localSheetId="2" name="döviz">#REF!</definedName>
    <definedName name="_BQ4.3">#REF!</definedName>
    <definedName name="______a4">#REF!</definedName>
    <definedName localSheetId="2" name="_BQ4.4">#REF!</definedName>
    <definedName localSheetId="0" name="_BQ4.31">#REF!</definedName>
    <definedName localSheetId="1" name="_BQ4.8">#REF!</definedName>
    <definedName name="_________a4">#REF!</definedName>
    <definedName name="_BQ4.4">#REF!</definedName>
    <definedName name="sa">#REF!</definedName>
    <definedName localSheetId="0" name="_BQ4.34">#REF!</definedName>
    <definedName localSheetId="0" name="_BQ4.1">#REF!</definedName>
    <definedName localSheetId="0" name="Sorgu1">#REF!</definedName>
    <definedName localSheetId="2" name="guj">#REF!</definedName>
    <definedName name="_BQ4.9">#REF!</definedName>
    <definedName localSheetId="1" name="_BQ4.28">#REF!</definedName>
    <definedName name="_BQ4.23">#REF!</definedName>
    <definedName name="YOLCU_E2">#REF!</definedName>
    <definedName localSheetId="0" name="gecelik">#REF!</definedName>
    <definedName localSheetId="2" name="şş">#REF!</definedName>
    <definedName name="ıooo">#REF!</definedName>
    <definedName name="_BQ4.13">#REF!</definedName>
    <definedName localSheetId="2" name="_BQ4.16">#REF!</definedName>
    <definedName localSheetId="1" name="_BQ4.15">#REF!</definedName>
    <definedName localSheetId="2" name="ffff">#REF!</definedName>
    <definedName localSheetId="2" name="_BQ4.19">#REF!</definedName>
    <definedName localSheetId="2" name="gsmh">#REF!</definedName>
    <definedName localSheetId="2" name="_BQ4.6">#REF!</definedName>
    <definedName localSheetId="0" name="_BQ4.13">#REF!</definedName>
    <definedName localSheetId="0" name="_BQ4.28">#REF!</definedName>
    <definedName localSheetId="0" name="_BQ4.27">#REF!</definedName>
    <definedName name="cari">#REF!</definedName>
    <definedName name="_BQ4.10">#REF!</definedName>
    <definedName name="hazfaizd">#REF!</definedName>
    <definedName localSheetId="2" name="_BQ4.21">#REF!</definedName>
    <definedName name="gecelik">#REF!</definedName>
    <definedName name="DALLLLLL">#REF!</definedName>
    <definedName localSheetId="1" name="AAAAAAAAAAAAAAAAAAAA">#REF!</definedName>
    <definedName localSheetId="0" name="S_9">#REF!</definedName>
    <definedName localSheetId="2" name="P">#REF!</definedName>
    <definedName localSheetId="0" name="YOLCU_E2">#REF!</definedName>
    <definedName localSheetId="1" name="Adana_4__Esenboğa_1__Dalaman_2__Erzurum_2__Gaziantep_1__A.Menderes_7__M.Bodrum_2__Trabzon_2__Çardak_5__Kayseri_6__GAP_1__Merzifon_2__Hatay_2">#REF!</definedName>
    <definedName name="_BQ4.24">#REF!</definedName>
    <definedName localSheetId="2" name="S_9">#REF!</definedName>
    <definedName localSheetId="0" name="sa">#REF!</definedName>
    <definedName localSheetId="0" name="_______a4">#REF!</definedName>
    <definedName name="YOLCU2">#REF!</definedName>
    <definedName localSheetId="2" name="_BQ4.24">#REF!</definedName>
    <definedName localSheetId="2" name="_a4">#REF!</definedName>
    <definedName localSheetId="2" name="_BQ4.18">#REF!</definedName>
    <definedName localSheetId="0" name="_BQ4.26">#REF!</definedName>
    <definedName localSheetId="1" name="_BQ4.33">#REF!</definedName>
    <definedName name="S_9">#REF!</definedName>
    <definedName localSheetId="1" name="_BQ4.21">#REF!</definedName>
    <definedName localSheetId="1" name="S_30">#REF!</definedName>
    <definedName localSheetId="0" name="S___35">#REF!</definedName>
    <definedName localSheetId="1" name="milas">#REF!</definedName>
    <definedName localSheetId="2" name="_BQ4.5">#REF!</definedName>
    <definedName localSheetId="1" name="_BQ4.17">#REF!</definedName>
    <definedName name="D">#REF!</definedName>
    <definedName localSheetId="0" name="_BQ4.23">#REF!</definedName>
    <definedName localSheetId="2" name="mil">#REF!</definedName>
    <definedName localSheetId="0" name="_BQ4.30">#REF!</definedName>
    <definedName name="_BQ4.29">#REF!</definedName>
    <definedName localSheetId="1" name="asdad">#REF!</definedName>
    <definedName localSheetId="0" name="guj">#REF!</definedName>
    <definedName localSheetId="0" name="tufed">#REF!</definedName>
    <definedName localSheetId="2" name="DDD">#REF!</definedName>
    <definedName localSheetId="1" name="a4C1">#REF!</definedName>
    <definedName localSheetId="1" name="____a4">#REF!</definedName>
  </definedNames>
  <calcPr/>
</workbook>
</file>

<file path=xl/sharedStrings.xml><?xml version="1.0" encoding="utf-8"?>
<sst xmlns="http://schemas.openxmlformats.org/spreadsheetml/2006/main" count="103" uniqueCount="92">
  <si>
    <r>
      <rPr>
        <rFont val="Calibri"/>
        <b/>
        <color rgb="FF0C0C0C"/>
        <sz val="18.0"/>
      </rPr>
      <t>TÜRKİYE GENELİ HAVALİMANLARI UÇAK, YOLCU VE YÜK TRAFİĞİ İSTATİSTİKLERİ (2002-2024)</t>
    </r>
    <r>
      <rPr>
        <rFont val="Calibri"/>
        <b/>
        <color rgb="FF0C0C0C"/>
        <sz val="18.0"/>
        <vertAlign val="superscript"/>
      </rPr>
      <t>(1)</t>
    </r>
  </si>
  <si>
    <r>
      <rPr>
        <rFont val="Calibri"/>
        <b/>
        <color rgb="FFFFFF00"/>
        <sz val="18.0"/>
      </rPr>
      <t>TAHMİN (2025-2027)</t>
    </r>
    <r>
      <rPr>
        <rFont val="Calibri"/>
        <b/>
        <color rgb="FFFFFF00"/>
        <sz val="18.0"/>
        <vertAlign val="superscript"/>
      </rPr>
      <t xml:space="preserve">(2)       </t>
    </r>
    <r>
      <rPr>
        <rFont val="Calibri"/>
        <b/>
        <color rgb="FFFFFF00"/>
        <sz val="18.0"/>
      </rPr>
      <t xml:space="preserve">                                 </t>
    </r>
  </si>
  <si>
    <t>YILLAR</t>
  </si>
  <si>
    <t>Bir Önceki Yıla Göre Değişim (2024/2023)</t>
  </si>
  <si>
    <t>Son On Yılda (2015-2024) Ortalama Yıllık Değişim (%)</t>
  </si>
  <si>
    <t>10 Yıl Öncesine Göre Değişim (2024/2015)</t>
  </si>
  <si>
    <t>Yolcu Trafiği
(Direk Transit Dahil)</t>
  </si>
  <si>
    <t>Yolcu Trafiği</t>
  </si>
  <si>
    <t xml:space="preserve">    - İç Hat</t>
  </si>
  <si>
    <t xml:space="preserve">    - Dış Hat</t>
  </si>
  <si>
    <t>Direkt Transit Yolcu</t>
  </si>
  <si>
    <t>Tüm Uçak (Overflight Dahil)</t>
  </si>
  <si>
    <t>Uçak Trafiği</t>
  </si>
  <si>
    <t>Overflight Uçak Trafiği</t>
  </si>
  <si>
    <t>Yük Trafiği
(Kargo+Posta+Bagaj) (Ton)</t>
  </si>
  <si>
    <r>
      <rPr>
        <rFont val="Calibri"/>
        <b/>
        <color theme="0"/>
        <sz val="12.0"/>
      </rPr>
      <t xml:space="preserve">Kargo Trafiği </t>
    </r>
    <r>
      <rPr>
        <rFont val="Calibri"/>
        <b/>
        <color theme="0"/>
        <sz val="12.0"/>
      </rPr>
      <t xml:space="preserve">                           </t>
    </r>
  </si>
  <si>
    <t>(1) 2016 Yılı Dış Hat Yolcu sayısı Kalite Revizyon Politikası kurallarına göre revize edilmiştir.</t>
  </si>
  <si>
    <t>(2) Uçak-Yolcu-Yük Tahminleri 2025 Yılı Mayıs ayında, 2025 Nisan sonu gerçekleşmelerine kadarki veriye göre revize edilmiştir.</t>
  </si>
  <si>
    <t>Açıklama 1 :</t>
  </si>
  <si>
    <t>İstanbul Sabiha Gökçen Havalimanı, Savunma Sanayii Başkanlığı denetiminde özel şirket tarafından işletilmektedir.</t>
  </si>
  <si>
    <t>Zonguldak Çaycuma,Gazipaşa Alanya,Zafer ve Aydın ÇILDIR Havalimanları, DHMİ denetimli özel şirket tarafından işletilmektedir.</t>
  </si>
  <si>
    <t>Eskişehir Hasan Polatkan Havalimanı, Eskişehir Teknik Üniversitesi Sivil Havacılık Yüksek Okulu tarafından işletilmektedir.</t>
  </si>
  <si>
    <t>İstanbul Havalimanı ve Çukurova Havalimanı DHMİ denetimi ve gözetimi altında özel şirket tarafından işletilmektedir.</t>
  </si>
  <si>
    <r>
      <rPr>
        <rFont val="Calibri"/>
        <b/>
        <color rgb="FF000000"/>
        <sz val="14.0"/>
      </rPr>
      <t xml:space="preserve">Açıklama 2 </t>
    </r>
    <r>
      <rPr>
        <rFont val="Calibri"/>
        <color rgb="FF000000"/>
        <sz val="14.0"/>
      </rPr>
      <t>:</t>
    </r>
    <r>
      <rPr>
        <rFont val="Calibri"/>
        <color theme="1"/>
        <sz val="14.0"/>
      </rPr>
      <t xml:space="preserve"> </t>
    </r>
  </si>
  <si>
    <t xml:space="preserve">Türkiye Geneli Yolcu serisi 2010 yılından itibarendir. Önceki Yıllar DHMİ işletimindeki havalimanları ile İstanbul Sabiha Gökçen Havalimanı toplamını belirtmektedir.  </t>
  </si>
  <si>
    <r>
      <rPr>
        <rFont val="Calibri"/>
        <b/>
        <color rgb="FF000000"/>
        <sz val="14.0"/>
      </rPr>
      <t xml:space="preserve">Açıklama 3 </t>
    </r>
    <r>
      <rPr>
        <rFont val="Calibri"/>
        <color rgb="FF000000"/>
        <sz val="14.0"/>
      </rPr>
      <t>:</t>
    </r>
    <r>
      <rPr>
        <rFont val="Calibri"/>
        <color theme="1"/>
        <sz val="14.0"/>
      </rPr>
      <t xml:space="preserve"> </t>
    </r>
  </si>
  <si>
    <t>Türkiye Geneli Havalimanları İstatistikleri Serisine : Zonguldak Çaycuma Havalimanı ( Hizmete Giriş Tarihi :  2007  ) ve  Eskişehir Hasan Polatkan Havalimanı  ( Hizmete Giriş Tarihi :  1989 ) 2007 yılında, Amasya Merzifon Havalimanı  ( Hizmete Giriş Tarihi :  2008 )  2008 yılında, Batman Havalimanı (DHMİ Teşkilatında yer alma tarihi :  2010) 2010 yılında,  Gazipaşa Alanya Havalimanı ( Hizmete Giriş Tarihi :  2009 ) 2009 yılında,  Zafer Havalimanı ( Hizmete Giriş Tarihi :  2012 ) 2012 yılında, Bingöl Havalimanı ( Hizmete Giriş Tarihi :  2013 ) ve Şırnak Şerafettin Elçi Havalimanı ( Hizmete Giriş Tarihi :  2013 ) ve Kastamonu Havalimanı ( Hizmete Giriş Tarihi :  2013 ) 2013 yılında, Aydın ÇILDIR Havalimanı (Hizmete Giriş Tarihi :  2013 )  2014 yılında , Hakkari Yüksekova Selahaddin Eyyubi Havalimanı ( Hizmete Giriş Tarihi : 2015 ) ve Ordu-Giresun Havalimanı  ( Hizmete Giriş Tarihi :  2015 ) 2015 yılında, İstanbul Havalimanı (Hizmete Giriş Tarihi :  2018) 2018 yılında, Rize-Artvin Havalimanı (Hizmete Giriş Tarihi : 2022) 2022 yılında, Çukurova Havalimanı (Hizmete Giriş Tarihi : 2024) 2024 yılında dahil olmuştur.</t>
  </si>
  <si>
    <t xml:space="preserve">TÜRKİYE'DE SİVİL HAVA TRAFİĞİNE AÇIK HAVALİMANLARI </t>
  </si>
  <si>
    <t>SIRA</t>
  </si>
  <si>
    <t>Havalimanı Adı</t>
  </si>
  <si>
    <t>Açıklama</t>
  </si>
  <si>
    <t>İstanbul Atatürk</t>
  </si>
  <si>
    <t>İstanbul</t>
  </si>
  <si>
    <t>DHMİ denetimli özel şirket tarafından işletilmektedir.</t>
  </si>
  <si>
    <t>İstanbul Sabiha Gökçen</t>
  </si>
  <si>
    <t>Savunma Sanayii Başkanlığı denetiminde özel şirket tarafından işletilmektedir.</t>
  </si>
  <si>
    <t>Ankara Esenboğa</t>
  </si>
  <si>
    <t>İzmir Adnan Menderes</t>
  </si>
  <si>
    <t>Antalya</t>
  </si>
  <si>
    <t>Gazipaşa Alanya</t>
  </si>
  <si>
    <t>Muğla Dalaman</t>
  </si>
  <si>
    <t>Muğla Milas-Bodrum</t>
  </si>
  <si>
    <t>Adana</t>
  </si>
  <si>
    <t>Çukurova</t>
  </si>
  <si>
    <t>Trabzon</t>
  </si>
  <si>
    <t>Erzurum</t>
  </si>
  <si>
    <t>Gaziantep</t>
  </si>
  <si>
    <t>Adıyaman</t>
  </si>
  <si>
    <t>Ağrı Ahmed-i Hani</t>
  </si>
  <si>
    <t>Amasya Merzifon</t>
  </si>
  <si>
    <t>Aydın Çıldır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</si>
  <si>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</si>
  <si>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</si>
  <si>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</si>
  <si>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</si>
  <si>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</si>
  <si>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</si>
  <si>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</si>
  <si>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</si>
  <si>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</si>
  <si>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</si>
  <si>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</si>
  <si>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</t>
  </si>
  <si>
    <t>Eskişehir Teknik Üniversitesi Sivil Havacılık Yüksek Okulu tarafından işletilmektedir.</t>
  </si>
  <si>
    <t>Hakkari Yüksekova Selahaddin Eyyubi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</si>
  <si>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</si>
  <si>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</si>
  <si>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</si>
  <si>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</si>
  <si>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</si>
  <si>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</si>
  <si>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</si>
  <si>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</si>
  <si>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</si>
  <si>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</si>
  <si>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</si>
  <si>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</si>
  <si>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</si>
  <si>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</si>
  <si>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</si>
  <si>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</si>
  <si>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</si>
  <si>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</si>
  <si>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</si>
  <si>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</si>
  <si>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</si>
  <si>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</si>
  <si>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</si>
  <si>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</si>
  <si>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</si>
  <si>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</t>
  </si>
  <si>
    <t>Zonguldak Çaycuma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</si>
</sst>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 \ ;[Color30]\(\-#,##0\)"/>
    <numFmt numFmtId="165" formatCode="0.0%"/>
    <numFmt numFmtId="166" formatCode="_-* #,##0\ _T_L_-;\-* #,##0\ _T_L_-;_-* &quot;-&quot;??\ _T_L_-;_-@"/>
    <numFmt numFmtId="167" formatCode="_-* #,##0_-;\-* #,##0_-;_-* &quot;-&quot;??_-;_-@"/>
  </numFmts>
  <fonts count="21">
    <font>
      <sz val="11.0"/>
      <color theme="1"/>
      <name val="Calibri"/>
      <scheme val="minor"/>
    </font>
    <font>
      <b/>
      <sz val="18.0"/>
      <color rgb="FF0C0C0C"/>
      <name val="Calibri"/>
    </font>
    <font/>
    <font>
      <b/>
      <sz val="18.0"/>
      <color rgb="FFFFFF00"/>
      <name val="Calibri"/>
    </font>
    <font>
      <sz val="11.0"/>
      <color theme="1"/>
      <name val="Calibri"/>
    </font>
    <font>
      <b/>
      <sz val="18.0"/>
      <color rgb="FF0070C0"/>
      <name val="Calibri"/>
    </font>
    <font>
      <b/>
      <sz val="12.0"/>
      <color rgb="FF0070C0"/>
      <name val="Calibri"/>
    </font>
    <font>
      <b/>
      <sz val="12.0"/>
      <color theme="0"/>
      <name val="Calibri"/>
    </font>
    <font>
      <b/>
      <sz val="14.0"/>
      <color theme="0"/>
      <name val="Calibri"/>
    </font>
    <font>
      <sz val="12.0"/>
      <color theme="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vertAlign val="superscript"/>
      <sz val="16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4.0"/>
      <color rgb="FF000000"/>
      <name val="Calibri"/>
    </font>
    <font>
      <sz val="14.0"/>
      <color theme="1"/>
      <name val="Calibri"/>
    </font>
    <font>
      <b/>
      <sz val="12.0"/>
      <color rgb="FF002060"/>
      <name val="Calibri"/>
    </font>
    <font>
      <b/>
      <sz val="11.0"/>
      <color rgb="FF002060"/>
      <name val="Calibri"/>
    </font>
    <font>
      <sz val="10.0"/>
      <color theme="1"/>
      <name val="Arimo"/>
    </font>
  </fonts>
  <fills count="1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C00000"/>
        <bgColor rgb="FFC00000"/>
      </patternFill>
    </fill>
    <fill>
      <patternFill patternType="solid">
        <fgColor rgb="FF171616"/>
        <bgColor rgb="FF171616"/>
      </patternFill>
    </fill>
    <fill>
      <patternFill patternType="solid">
        <fgColor rgb="FF7F7F7F"/>
        <bgColor rgb="FF7F7F7F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theme="0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/>
      <top style="medium">
        <color theme="0"/>
      </top>
      <bottom/>
    </border>
    <border>
      <left/>
      <right/>
      <top style="medium">
        <color theme="0"/>
      </top>
      <bottom/>
    </border>
    <border>
      <left style="hair">
        <color theme="0"/>
      </left>
      <right style="hair">
        <color theme="0"/>
      </right>
      <top style="hair">
        <color theme="0"/>
      </top>
      <bottom/>
    </border>
    <border>
      <left style="medium">
        <color theme="0"/>
      </left>
      <right/>
      <top/>
      <bottom/>
    </border>
    <border>
      <left style="hair">
        <color theme="0"/>
      </left>
      <right style="hair">
        <color theme="0"/>
      </right>
      <top/>
      <bottom/>
    </border>
    <border>
      <left style="medium">
        <color theme="0"/>
      </left>
      <top/>
      <bottom style="thin">
        <color rgb="FF000000"/>
      </bottom>
    </border>
    <border>
      <right style="medium">
        <color theme="0"/>
      </right>
      <top/>
      <bottom style="thin">
        <color rgb="FF000000"/>
      </bottom>
    </border>
    <border>
      <left style="medium">
        <color theme="0"/>
      </left>
      <right/>
      <top/>
      <bottom style="medium">
        <color theme="0"/>
      </bottom>
    </border>
    <border>
      <left/>
      <right/>
      <top/>
      <bottom style="medium">
        <color theme="0"/>
      </bottom>
    </border>
    <border>
      <left style="thin">
        <color theme="0"/>
      </left>
      <right style="thin">
        <color theme="0"/>
      </right>
      <top/>
      <bottom style="medium">
        <color theme="0"/>
      </bottom>
    </border>
    <border>
      <top style="medium">
        <color theme="0"/>
      </top>
    </border>
    <border>
      <left style="hair">
        <color theme="0"/>
      </left>
      <right style="hair">
        <color theme="0"/>
      </right>
      <bottom style="hair">
        <color theme="0"/>
      </bottom>
    </border>
    <border>
      <left/>
      <top/>
      <bottom/>
    </border>
    <border>
      <top/>
      <bottom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10" xfId="0" applyAlignment="1" applyBorder="1" applyFill="1" applyFont="1" applyNumberFormat="1">
      <alignment horizontal="center" vertical="center"/>
    </xf>
    <xf borderId="5" fillId="0" fontId="2" numFmtId="0" xfId="0" applyBorder="1" applyFont="1"/>
    <xf borderId="6" fillId="4" fontId="4" numFmtId="0" xfId="0" applyBorder="1" applyFill="1" applyFont="1"/>
    <xf borderId="1" fillId="5" fontId="5" numFmtId="0" xfId="0" applyAlignment="1" applyBorder="1" applyFill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8" fillId="5" fontId="5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shrinkToFit="0" vertical="center" wrapText="1"/>
    </xf>
    <xf borderId="9" fillId="6" fontId="7" numFmtId="164" xfId="0" applyAlignment="1" applyBorder="1" applyFill="1" applyFont="1" applyNumberFormat="1">
      <alignment horizontal="left" shrinkToFit="0" vertical="center" wrapText="1"/>
    </xf>
    <xf borderId="10" fillId="0" fontId="2" numFmtId="0" xfId="0" applyBorder="1" applyFont="1"/>
    <xf borderId="11" fillId="6" fontId="8" numFmtId="164" xfId="0" applyAlignment="1" applyBorder="1" applyFont="1" applyNumberFormat="1">
      <alignment horizontal="right" vertical="center"/>
    </xf>
    <xf borderId="12" fillId="6" fontId="8" numFmtId="164" xfId="0" applyAlignment="1" applyBorder="1" applyFont="1" applyNumberFormat="1">
      <alignment horizontal="right" vertical="center"/>
    </xf>
    <xf borderId="13" fillId="6" fontId="7" numFmtId="165" xfId="0" applyAlignment="1" applyBorder="1" applyFont="1" applyNumberFormat="1">
      <alignment horizontal="center" vertical="center"/>
    </xf>
    <xf borderId="9" fillId="7" fontId="7" numFmtId="164" xfId="0" applyAlignment="1" applyBorder="1" applyFill="1" applyFont="1" applyNumberFormat="1">
      <alignment horizontal="left" vertical="center"/>
    </xf>
    <xf borderId="14" fillId="7" fontId="7" numFmtId="164" xfId="0" applyAlignment="1" applyBorder="1" applyFont="1" applyNumberFormat="1">
      <alignment horizontal="right" vertical="center"/>
    </xf>
    <xf borderId="6" fillId="7" fontId="7" numFmtId="164" xfId="0" applyAlignment="1" applyBorder="1" applyFont="1" applyNumberFormat="1">
      <alignment horizontal="right" vertical="center"/>
    </xf>
    <xf borderId="15" fillId="7" fontId="7" numFmtId="165" xfId="0" applyAlignment="1" applyBorder="1" applyFont="1" applyNumberFormat="1">
      <alignment horizontal="center" vertical="center"/>
    </xf>
    <xf borderId="9" fillId="8" fontId="9" numFmtId="164" xfId="0" applyAlignment="1" applyBorder="1" applyFill="1" applyFont="1" applyNumberFormat="1">
      <alignment horizontal="left" vertical="center"/>
    </xf>
    <xf borderId="14" fillId="8" fontId="7" numFmtId="164" xfId="0" applyAlignment="1" applyBorder="1" applyFont="1" applyNumberFormat="1">
      <alignment horizontal="right" vertical="center"/>
    </xf>
    <xf borderId="6" fillId="8" fontId="7" numFmtId="164" xfId="0" applyAlignment="1" applyBorder="1" applyFont="1" applyNumberFormat="1">
      <alignment horizontal="right" vertical="center"/>
    </xf>
    <xf borderId="15" fillId="8" fontId="7" numFmtId="165" xfId="0" applyAlignment="1" applyBorder="1" applyFont="1" applyNumberFormat="1">
      <alignment horizontal="center" vertical="center"/>
    </xf>
    <xf borderId="6" fillId="4" fontId="4" numFmtId="166" xfId="0" applyBorder="1" applyFont="1" applyNumberFormat="1"/>
    <xf borderId="9" fillId="9" fontId="10" numFmtId="164" xfId="0" applyAlignment="1" applyBorder="1" applyFill="1" applyFont="1" applyNumberFormat="1">
      <alignment horizontal="left" vertical="center"/>
    </xf>
    <xf borderId="14" fillId="9" fontId="11" numFmtId="164" xfId="0" applyAlignment="1" applyBorder="1" applyFont="1" applyNumberFormat="1">
      <alignment horizontal="right" vertical="center"/>
    </xf>
    <xf borderId="6" fillId="9" fontId="12" numFmtId="164" xfId="0" applyAlignment="1" applyBorder="1" applyFont="1" applyNumberFormat="1">
      <alignment horizontal="right" vertical="center"/>
    </xf>
    <xf borderId="15" fillId="9" fontId="12" numFmtId="165" xfId="0" applyAlignment="1" applyBorder="1" applyFont="1" applyNumberFormat="1">
      <alignment horizontal="center" vertical="center"/>
    </xf>
    <xf borderId="9" fillId="10" fontId="7" numFmtId="164" xfId="0" applyAlignment="1" applyBorder="1" applyFill="1" applyFont="1" applyNumberFormat="1">
      <alignment horizontal="left" vertical="center"/>
    </xf>
    <xf borderId="14" fillId="10" fontId="8" numFmtId="164" xfId="0" applyAlignment="1" applyBorder="1" applyFont="1" applyNumberFormat="1">
      <alignment horizontal="right" vertical="center"/>
    </xf>
    <xf borderId="6" fillId="10" fontId="8" numFmtId="164" xfId="0" applyAlignment="1" applyBorder="1" applyFont="1" applyNumberFormat="1">
      <alignment horizontal="right" vertical="center"/>
    </xf>
    <xf borderId="15" fillId="10" fontId="7" numFmtId="165" xfId="0" applyAlignment="1" applyBorder="1" applyFont="1" applyNumberFormat="1">
      <alignment horizontal="center" vertical="center"/>
    </xf>
    <xf borderId="14" fillId="10" fontId="7" numFmtId="164" xfId="0" applyAlignment="1" applyBorder="1" applyFont="1" applyNumberFormat="1">
      <alignment horizontal="right" vertical="center"/>
    </xf>
    <xf borderId="6" fillId="10" fontId="7" numFmtId="164" xfId="0" applyAlignment="1" applyBorder="1" applyFont="1" applyNumberFormat="1">
      <alignment horizontal="right" vertical="center"/>
    </xf>
    <xf borderId="9" fillId="3" fontId="7" numFmtId="164" xfId="0" applyAlignment="1" applyBorder="1" applyFont="1" applyNumberFormat="1">
      <alignment horizontal="left" shrinkToFit="0" vertical="center" wrapText="1"/>
    </xf>
    <xf borderId="14" fillId="3" fontId="7" numFmtId="164" xfId="0" applyAlignment="1" applyBorder="1" applyFont="1" applyNumberFormat="1">
      <alignment horizontal="right" vertical="center"/>
    </xf>
    <xf borderId="6" fillId="3" fontId="8" numFmtId="164" xfId="0" applyAlignment="1" applyBorder="1" applyFont="1" applyNumberFormat="1">
      <alignment horizontal="right" vertical="center"/>
    </xf>
    <xf borderId="15" fillId="3" fontId="7" numFmtId="165" xfId="0" applyAlignment="1" applyBorder="1" applyFont="1" applyNumberFormat="1">
      <alignment horizontal="center" vertical="center"/>
    </xf>
    <xf borderId="9" fillId="11" fontId="10" numFmtId="164" xfId="0" applyAlignment="1" applyBorder="1" applyFill="1" applyFont="1" applyNumberFormat="1">
      <alignment horizontal="left" vertical="center"/>
    </xf>
    <xf borderId="14" fillId="11" fontId="12" numFmtId="164" xfId="0" applyAlignment="1" applyBorder="1" applyFont="1" applyNumberFormat="1">
      <alignment horizontal="right" vertical="center"/>
    </xf>
    <xf borderId="6" fillId="11" fontId="12" numFmtId="164" xfId="0" applyAlignment="1" applyBorder="1" applyFont="1" applyNumberFormat="1">
      <alignment horizontal="right" vertical="center"/>
    </xf>
    <xf borderId="15" fillId="11" fontId="12" numFmtId="165" xfId="0" applyAlignment="1" applyBorder="1" applyFont="1" applyNumberFormat="1">
      <alignment horizontal="center" vertical="center"/>
    </xf>
    <xf borderId="16" fillId="12" fontId="10" numFmtId="164" xfId="0" applyAlignment="1" applyBorder="1" applyFill="1" applyFont="1" applyNumberFormat="1">
      <alignment horizontal="left" vertical="center"/>
    </xf>
    <xf borderId="17" fillId="0" fontId="2" numFmtId="0" xfId="0" applyBorder="1" applyFont="1"/>
    <xf borderId="14" fillId="12" fontId="12" numFmtId="164" xfId="0" applyAlignment="1" applyBorder="1" applyFont="1" applyNumberFormat="1">
      <alignment horizontal="right" vertical="center"/>
    </xf>
    <xf borderId="6" fillId="12" fontId="12" numFmtId="164" xfId="0" applyAlignment="1" applyBorder="1" applyFont="1" applyNumberFormat="1">
      <alignment horizontal="right" vertical="center"/>
    </xf>
    <xf borderId="15" fillId="12" fontId="12" numFmtId="165" xfId="0" applyAlignment="1" applyBorder="1" applyFont="1" applyNumberFormat="1">
      <alignment horizontal="center" vertical="center"/>
    </xf>
    <xf borderId="9" fillId="3" fontId="7" numFmtId="0" xfId="0" applyAlignment="1" applyBorder="1" applyFont="1">
      <alignment horizontal="left" vertical="center"/>
    </xf>
    <xf borderId="14" fillId="3" fontId="7" numFmtId="166" xfId="0" applyAlignment="1" applyBorder="1" applyFont="1" applyNumberFormat="1">
      <alignment horizontal="right" vertical="center"/>
    </xf>
    <xf borderId="6" fillId="3" fontId="7" numFmtId="166" xfId="0" applyAlignment="1" applyBorder="1" applyFont="1" applyNumberFormat="1">
      <alignment horizontal="right" vertical="center"/>
    </xf>
    <xf borderId="6" fillId="3" fontId="7" numFmtId="164" xfId="0" applyAlignment="1" applyBorder="1" applyFont="1" applyNumberFormat="1">
      <alignment horizontal="right" vertical="center"/>
    </xf>
    <xf borderId="18" fillId="12" fontId="12" numFmtId="164" xfId="0" applyAlignment="1" applyBorder="1" applyFont="1" applyNumberFormat="1">
      <alignment horizontal="right" vertical="center"/>
    </xf>
    <xf borderId="19" fillId="12" fontId="12" numFmtId="164" xfId="0" applyAlignment="1" applyBorder="1" applyFont="1" applyNumberFormat="1">
      <alignment horizontal="right" vertical="center"/>
    </xf>
    <xf borderId="20" fillId="12" fontId="12" numFmtId="165" xfId="0" applyAlignment="1" applyBorder="1" applyFont="1" applyNumberFormat="1">
      <alignment horizontal="center" vertical="center"/>
    </xf>
    <xf borderId="21" fillId="0" fontId="13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0" fillId="0" fontId="4" numFmtId="167" xfId="0" applyFont="1" applyNumberFormat="1"/>
    <xf borderId="22" fillId="0" fontId="14" numFmtId="166" xfId="0" applyAlignment="1" applyBorder="1" applyFont="1" applyNumberFormat="1">
      <alignment horizontal="center" vertical="center"/>
    </xf>
    <xf borderId="0" fillId="0" fontId="15" numFmtId="166" xfId="0" applyFont="1" applyNumberFormat="1"/>
    <xf borderId="0" fillId="0" fontId="4" numFmtId="166" xfId="0" applyAlignment="1" applyFont="1" applyNumberFormat="1">
      <alignment horizontal="right"/>
    </xf>
    <xf borderId="0" fillId="0" fontId="12" numFmtId="9" xfId="0" applyAlignment="1" applyFont="1" applyNumberFormat="1">
      <alignment horizontal="right" vertical="center"/>
    </xf>
    <xf borderId="22" fillId="0" fontId="14" numFmtId="165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" xfId="0" applyAlignment="1" applyFont="1" applyNumberFormat="1">
      <alignment horizontal="right"/>
    </xf>
    <xf borderId="0" fillId="0" fontId="4" numFmtId="9" xfId="0" applyAlignment="1" applyFont="1" applyNumberFormat="1">
      <alignment horizontal="right"/>
    </xf>
    <xf borderId="0" fillId="0" fontId="4" numFmtId="9" xfId="0" applyFont="1" applyNumberFormat="1"/>
    <xf borderId="0" fillId="0" fontId="4" numFmtId="164" xfId="0" applyAlignment="1" applyFont="1" applyNumberFormat="1">
      <alignment horizontal="right"/>
    </xf>
    <xf borderId="0" fillId="0" fontId="16" numFmtId="0" xfId="0" applyFont="1"/>
    <xf borderId="0" fillId="0" fontId="17" numFmtId="0" xfId="0" applyFont="1"/>
    <xf borderId="0" fillId="0" fontId="17" numFmtId="0" xfId="0" applyAlignment="1" applyFont="1">
      <alignment horizontal="right"/>
    </xf>
    <xf borderId="0" fillId="0" fontId="17" numFmtId="164" xfId="0" applyAlignment="1" applyFont="1" applyNumberFormat="1">
      <alignment horizontal="right" vertical="center"/>
    </xf>
    <xf borderId="0" fillId="0" fontId="17" numFmtId="10" xfId="0" applyAlignment="1" applyFont="1" applyNumberFormat="1">
      <alignment horizontal="right"/>
    </xf>
    <xf borderId="0" fillId="0" fontId="17" numFmtId="10" xfId="0" applyFont="1" applyNumberFormat="1"/>
    <xf borderId="0" fillId="0" fontId="17" numFmtId="0" xfId="0" applyAlignment="1" applyFont="1">
      <alignment horizontal="left"/>
    </xf>
    <xf borderId="0" fillId="0" fontId="17" numFmtId="1" xfId="0" applyAlignment="1" applyFont="1" applyNumberFormat="1">
      <alignment horizontal="right"/>
    </xf>
    <xf borderId="0" fillId="0" fontId="17" numFmtId="1" xfId="0" applyFont="1" applyNumberFormat="1"/>
    <xf borderId="0" fillId="0" fontId="17" numFmtId="0" xfId="0" applyAlignment="1" applyFont="1">
      <alignment horizontal="left" vertical="top"/>
    </xf>
    <xf borderId="0" fillId="0" fontId="17" numFmtId="0" xfId="0" applyAlignment="1" applyFont="1">
      <alignment horizontal="left" shrinkToFit="0" vertical="top" wrapText="1"/>
    </xf>
    <xf borderId="0" fillId="0" fontId="17" numFmtId="0" xfId="0" applyAlignment="1" applyFont="1">
      <alignment shrinkToFit="0" wrapText="1"/>
    </xf>
    <xf borderId="23" fillId="13" fontId="18" numFmtId="0" xfId="0" applyAlignment="1" applyBorder="1" applyFill="1" applyFont="1">
      <alignment horizontal="center" vertical="center"/>
    </xf>
    <xf borderId="24" fillId="0" fontId="2" numFmtId="0" xfId="0" applyBorder="1" applyFont="1"/>
    <xf borderId="25" fillId="14" fontId="19" numFmtId="0" xfId="0" applyAlignment="1" applyBorder="1" applyFill="1" applyFont="1">
      <alignment horizontal="center" vertical="center"/>
    </xf>
    <xf borderId="25" fillId="14" fontId="19" numFmtId="0" xfId="0" applyAlignment="1" applyBorder="1" applyFont="1">
      <alignment horizontal="left" vertical="center"/>
    </xf>
    <xf borderId="25" fillId="15" fontId="20" numFmtId="0" xfId="0" applyAlignment="1" applyBorder="1" applyFill="1" applyFont="1">
      <alignment horizontal="center"/>
    </xf>
    <xf borderId="25" fillId="15" fontId="20" numFmtId="0" xfId="0" applyAlignment="1" applyBorder="1" applyFont="1">
      <alignment horizontal="left"/>
    </xf>
    <xf borderId="25" fillId="14" fontId="20" numFmtId="0" xfId="0" applyAlignment="1" applyBorder="1" applyFont="1">
      <alignment horizontal="center"/>
    </xf>
    <xf borderId="25" fillId="14" fontId="20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Yolcu Grafiği (2015-2024)</a:t>
            </a:r>
          </a:p>
        </c:rich>
      </c:tx>
      <c:overlay val="0"/>
    </c:title>
    <c:plotArea>
      <c:layout>
        <c:manualLayout>
          <c:xMode val="edge"/>
          <c:yMode val="edge"/>
          <c:x val="0.12144239931791967"/>
          <c:y val="0.1293113371394265"/>
          <c:w val="0.8717635454803818"/>
          <c:h val="0.7020235904044924"/>
        </c:manualLayout>
      </c:layout>
      <c:lineChart>
        <c:ser>
          <c:idx val="0"/>
          <c:order val="0"/>
          <c:tx>
            <c:v>Yolcu Trafiği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Serisi'!$P$4:$Y$4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Serisi'!$P$5:$Y$5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Serisi'!$P$6:$Y$6</c:f>
              <c:numCache/>
            </c:numRef>
          </c:val>
          <c:smooth val="0"/>
        </c:ser>
        <c:axId val="2104529959"/>
        <c:axId val="1201233502"/>
      </c:lineChart>
      <c:catAx>
        <c:axId val="2104529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1233502"/>
      </c:catAx>
      <c:valAx>
        <c:axId val="1201233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452995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Uçak Grafiği (2015-2024)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Uçak Trafiği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Serisi'!$P$9:$Y$9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Serisi'!$P$10:$Y$10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Serisi'!$P$11:$Y$11</c:f>
              <c:numCache/>
            </c:numRef>
          </c:val>
          <c:smooth val="0"/>
        </c:ser>
        <c:axId val="131376705"/>
        <c:axId val="1709421958"/>
      </c:lineChart>
      <c:catAx>
        <c:axId val="131376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9421958"/>
      </c:catAx>
      <c:valAx>
        <c:axId val="1709421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3767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Yük (Kargo+Posta+Bagaj) Grafiği 
(2015-2024)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Yük Trafiği
(Kargo+Posta+Bagaj) (Ton)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Serisi'!$P$13:$Y$13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Serisi'!$P$14:$Y$14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Serisi'!$P$15:$Y$15</c:f>
              <c:numCache/>
            </c:numRef>
          </c:val>
          <c:smooth val="0"/>
        </c:ser>
        <c:axId val="145276347"/>
        <c:axId val="298366259"/>
      </c:lineChart>
      <c:catAx>
        <c:axId val="145276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8366259"/>
      </c:catAx>
      <c:valAx>
        <c:axId val="298366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2763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Kargo Grafiği 
(2015-2024)</a:t>
            </a:r>
          </a:p>
        </c:rich>
      </c:tx>
      <c:layout>
        <c:manualLayout>
          <c:xMode val="edge"/>
          <c:yMode val="edge"/>
          <c:x val="0.1837798444715704"/>
          <c:y val="0.0035355215520661227"/>
        </c:manualLayout>
      </c:layout>
      <c:overlay val="0"/>
    </c:title>
    <c:plotArea>
      <c:layout/>
      <c:lineChart>
        <c:ser>
          <c:idx val="0"/>
          <c:order val="0"/>
          <c:tx>
            <c:v>Kargo Trafiği                           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Serisi'!$P$16:$Y$16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Serisi'!$P$17:$Y$17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Serisi'!$P$18:$Y$18</c:f>
              <c:numCache/>
            </c:numRef>
          </c:val>
          <c:smooth val="0"/>
        </c:ser>
        <c:axId val="2074386729"/>
        <c:axId val="849213916"/>
      </c:lineChart>
      <c:catAx>
        <c:axId val="2074386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9213916"/>
      </c:catAx>
      <c:valAx>
        <c:axId val="849213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43867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21</xdr:row>
      <xdr:rowOff>38100</xdr:rowOff>
    </xdr:from>
    <xdr:ext cx="7524750" cy="3695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21</xdr:row>
      <xdr:rowOff>95250</xdr:rowOff>
    </xdr:from>
    <xdr:ext cx="6581775" cy="38195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40</xdr:row>
      <xdr:rowOff>66675</xdr:rowOff>
    </xdr:from>
    <xdr:ext cx="7486650" cy="3800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533400</xdr:colOff>
      <xdr:row>40</xdr:row>
      <xdr:rowOff>85725</xdr:rowOff>
    </xdr:from>
    <xdr:ext cx="6572250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57925" cy="5724525"/>
    <xdr:sp>
      <xdr:nvSpPr>
        <xdr:cNvPr id="3" name="Shape 3"/>
        <xdr:cNvSpPr txBox="1"/>
      </xdr:nvSpPr>
      <xdr:spPr>
        <a:xfrm>
          <a:off x="2221800" y="922500"/>
          <a:ext cx="6248400" cy="5715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Yayınlanan İstatistiklere İlişkin Sözlük Tanımlamaları;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Havalimanı trafiği aşağıdakilerin bir veya ikisini kapsar;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a) Uçak Hareketleri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b) Havalimanına gelen ya da havalimanından giden yolcular ve yük ( kargo-posta-bagaj)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Havalimanı uçak trafiği, havalimanına inen veya kalkan uçak trafiği hareketidir. İniş ve kalkış toplamı iki hareket olarak sayılır.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Overflight Uçuş : Türk Hava Sahasına giriş ile başlayan çıkış ile biten üstgeçiş hareketidir.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Yolcu: Hava yoluyla seyahat eden, uçuş personeli ve kabin mürettebatı hariç uçaktaki tüm bireylerdir.          (istatistiklerde yolcu sayısına kucaktaki bebek dahil edilmemektedir.)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Direkt transit yolcular: Vardıkları uçakla kısa bir aradan sonra aynı uçuş sayısına sahip yine aynı uçakla seyahatlerine devam eden yolculardır.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Transfer ya da dolaylı transit yolcular: 24 saat içinde farklı uçaklarla yada aynı ama farklı uçuş sayısına sahip uçakla varıp ayrılan yolculardır. (Bu yolcular varıştan ve kalkıştan sonra olmak üzere iki kez sayılırlar.)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Bagaj 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ICAO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Operatörün izniyle,uçakta taşınan yada uçağa yüklenen yolcu ve mürettebatın kişisel eşyalarıdır.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Kargo 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ICAO/Eurostat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P:Posta ve bagaj dışında,uçakta taşınan eşyadır.İstatistiksel amaçlardan dolayı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kargolar,ekspres navlun, koli ve diplomatik çantaları içerir fakat yolcu bagajlarını içermez. İster yolcu uçağıyla ister tüm kargo hizmetleriyle taşınsın bütün kargolar buna dahil edilmelidir.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Posta 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Eurostat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Bir uçakta taşınan,nakliye edilen ve posta yönetimine ulaştırma amacı güdülen yazışma haberleri ve diğer nesnelerdir.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4.57"/>
    <col customWidth="1" min="2" max="2" width="15.14"/>
    <col customWidth="1" min="3" max="10" width="15.57"/>
    <col customWidth="1" min="11" max="25" width="17.0"/>
    <col customWidth="1" min="26" max="26" width="21.71"/>
    <col customWidth="1" min="27" max="27" width="21.43"/>
    <col customWidth="1" min="28" max="28" width="21.71"/>
    <col customWidth="1" min="29" max="29" width="19.14"/>
    <col customWidth="1" min="30" max="30" width="18.86"/>
    <col customWidth="1" min="31" max="31" width="16.86"/>
    <col customWidth="1" min="32" max="32" width="18.86"/>
    <col customWidth="1" min="33" max="51" width="9.14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4" t="s">
        <v>1</v>
      </c>
      <c r="AD1" s="5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>
      <c r="A2" s="7" t="s">
        <v>2</v>
      </c>
      <c r="B2" s="3"/>
      <c r="C2" s="8">
        <v>2002.0</v>
      </c>
      <c r="D2" s="8">
        <v>2003.0</v>
      </c>
      <c r="E2" s="8">
        <v>2004.0</v>
      </c>
      <c r="F2" s="8">
        <v>2005.0</v>
      </c>
      <c r="G2" s="8">
        <v>2006.0</v>
      </c>
      <c r="H2" s="8">
        <v>2007.0</v>
      </c>
      <c r="I2" s="8">
        <v>2008.0</v>
      </c>
      <c r="J2" s="8">
        <v>2009.0</v>
      </c>
      <c r="K2" s="8">
        <v>2010.0</v>
      </c>
      <c r="L2" s="8">
        <v>2011.0</v>
      </c>
      <c r="M2" s="8">
        <v>2012.0</v>
      </c>
      <c r="N2" s="8">
        <v>2013.0</v>
      </c>
      <c r="O2" s="8">
        <v>2014.0</v>
      </c>
      <c r="P2" s="8">
        <v>2015.0</v>
      </c>
      <c r="Q2" s="8">
        <v>2016.0</v>
      </c>
      <c r="R2" s="8">
        <v>2017.0</v>
      </c>
      <c r="S2" s="8">
        <v>2018.0</v>
      </c>
      <c r="T2" s="9">
        <v>2019.0</v>
      </c>
      <c r="U2" s="9">
        <v>2020.0</v>
      </c>
      <c r="V2" s="9">
        <v>2021.0</v>
      </c>
      <c r="W2" s="9">
        <v>2022.0</v>
      </c>
      <c r="X2" s="9">
        <v>2023.0</v>
      </c>
      <c r="Y2" s="9">
        <v>2024.0</v>
      </c>
      <c r="Z2" s="10" t="s">
        <v>3</v>
      </c>
      <c r="AA2" s="10" t="s">
        <v>4</v>
      </c>
      <c r="AB2" s="10" t="s">
        <v>5</v>
      </c>
      <c r="AC2" s="9">
        <v>2025.0</v>
      </c>
      <c r="AD2" s="9">
        <v>2026.0</v>
      </c>
      <c r="AE2" s="9">
        <v>2027.0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ht="33.0" customHeight="1">
      <c r="A3" s="11" t="s">
        <v>6</v>
      </c>
      <c r="B3" s="12"/>
      <c r="C3" s="13">
        <f t="shared" ref="C3:M3" si="1">+C5+C6+C7</f>
        <v>33783892</v>
      </c>
      <c r="D3" s="14">
        <f t="shared" si="1"/>
        <v>34443655</v>
      </c>
      <c r="E3" s="14">
        <f t="shared" si="1"/>
        <v>45057371</v>
      </c>
      <c r="F3" s="14">
        <f t="shared" si="1"/>
        <v>56119472</v>
      </c>
      <c r="G3" s="14">
        <f t="shared" si="1"/>
        <v>62271876</v>
      </c>
      <c r="H3" s="14">
        <f t="shared" si="1"/>
        <v>70715263</v>
      </c>
      <c r="I3" s="14">
        <f t="shared" si="1"/>
        <v>79887380</v>
      </c>
      <c r="J3" s="14">
        <f t="shared" si="1"/>
        <v>86001343</v>
      </c>
      <c r="K3" s="14">
        <f t="shared" si="1"/>
        <v>103536513</v>
      </c>
      <c r="L3" s="14">
        <f t="shared" si="1"/>
        <v>118292000</v>
      </c>
      <c r="M3" s="14">
        <f t="shared" si="1"/>
        <v>131029516</v>
      </c>
      <c r="N3" s="14">
        <f t="shared" ref="N3:Y3" si="2">+N4+N7</f>
        <v>149995868</v>
      </c>
      <c r="O3" s="14">
        <f t="shared" si="2"/>
        <v>166181339</v>
      </c>
      <c r="P3" s="14">
        <f t="shared" si="2"/>
        <v>181437004</v>
      </c>
      <c r="Q3" s="14">
        <f t="shared" si="2"/>
        <v>174153146</v>
      </c>
      <c r="R3" s="14">
        <f t="shared" si="2"/>
        <v>193576844</v>
      </c>
      <c r="S3" s="14">
        <f t="shared" si="2"/>
        <v>210947639</v>
      </c>
      <c r="T3" s="14">
        <f t="shared" si="2"/>
        <v>208911338</v>
      </c>
      <c r="U3" s="14">
        <f t="shared" si="2"/>
        <v>81703685</v>
      </c>
      <c r="V3" s="14">
        <f t="shared" si="2"/>
        <v>128350222</v>
      </c>
      <c r="W3" s="14">
        <f t="shared" si="2"/>
        <v>182225531</v>
      </c>
      <c r="X3" s="14">
        <f t="shared" si="2"/>
        <v>214136575</v>
      </c>
      <c r="Y3" s="14">
        <f t="shared" si="2"/>
        <v>230833911</v>
      </c>
      <c r="Z3" s="15">
        <f t="shared" ref="Z3:Z18" si="5">+(Y3-X3)/X3</f>
        <v>0.07797517075</v>
      </c>
      <c r="AA3" s="15">
        <f t="shared" ref="AA3:AA18" si="6">+(Y3/P3)^(1/9)-1</f>
        <v>0.02711555146</v>
      </c>
      <c r="AB3" s="15">
        <f t="shared" ref="AB3:AB18" si="7">+(Y3-P3)/P3</f>
        <v>0.2722537625</v>
      </c>
      <c r="AC3" s="14">
        <f t="shared" ref="AC3:AE3" si="3">+AC4+AC7</f>
        <v>244759355</v>
      </c>
      <c r="AD3" s="14">
        <f t="shared" si="3"/>
        <v>255932464</v>
      </c>
      <c r="AE3" s="14">
        <f t="shared" si="3"/>
        <v>261626874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ht="21.75" customHeight="1">
      <c r="A4" s="16" t="s">
        <v>7</v>
      </c>
      <c r="B4" s="12"/>
      <c r="C4" s="17">
        <f t="shared" ref="C4:Y4" si="4">+C5+C6</f>
        <v>33783892</v>
      </c>
      <c r="D4" s="18">
        <f t="shared" si="4"/>
        <v>34443655</v>
      </c>
      <c r="E4" s="18">
        <f t="shared" si="4"/>
        <v>45057371</v>
      </c>
      <c r="F4" s="18">
        <f t="shared" si="4"/>
        <v>55572426</v>
      </c>
      <c r="G4" s="18">
        <f t="shared" si="4"/>
        <v>61655659</v>
      </c>
      <c r="H4" s="18">
        <f t="shared" si="4"/>
        <v>70296532</v>
      </c>
      <c r="I4" s="18">
        <f t="shared" si="4"/>
        <v>79438289</v>
      </c>
      <c r="J4" s="18">
        <f t="shared" si="4"/>
        <v>85508508</v>
      </c>
      <c r="K4" s="18">
        <f t="shared" si="4"/>
        <v>102800392</v>
      </c>
      <c r="L4" s="18">
        <f t="shared" si="4"/>
        <v>117620469</v>
      </c>
      <c r="M4" s="18">
        <f t="shared" si="4"/>
        <v>130351620</v>
      </c>
      <c r="N4" s="18">
        <f t="shared" si="4"/>
        <v>149430421</v>
      </c>
      <c r="O4" s="18">
        <f t="shared" si="4"/>
        <v>165720234</v>
      </c>
      <c r="P4" s="18">
        <f t="shared" si="4"/>
        <v>181074531</v>
      </c>
      <c r="Q4" s="18">
        <f t="shared" si="4"/>
        <v>173743537</v>
      </c>
      <c r="R4" s="18">
        <f t="shared" si="4"/>
        <v>193045343</v>
      </c>
      <c r="S4" s="18">
        <f t="shared" si="4"/>
        <v>210498164</v>
      </c>
      <c r="T4" s="18">
        <f t="shared" si="4"/>
        <v>208373696</v>
      </c>
      <c r="U4" s="18">
        <f t="shared" si="4"/>
        <v>81616140</v>
      </c>
      <c r="V4" s="18">
        <f t="shared" si="4"/>
        <v>128155762</v>
      </c>
      <c r="W4" s="18">
        <f t="shared" si="4"/>
        <v>181789339</v>
      </c>
      <c r="X4" s="18">
        <f t="shared" si="4"/>
        <v>213693163</v>
      </c>
      <c r="Y4" s="18">
        <f t="shared" si="4"/>
        <v>230291231</v>
      </c>
      <c r="Z4" s="19">
        <f t="shared" si="5"/>
        <v>0.07767243353</v>
      </c>
      <c r="AA4" s="19">
        <f t="shared" si="6"/>
        <v>0.02707515988</v>
      </c>
      <c r="AB4" s="19">
        <f t="shared" si="7"/>
        <v>0.2718035481</v>
      </c>
      <c r="AC4" s="18">
        <f t="shared" ref="AC4:AE4" si="8">+AC5+AC6</f>
        <v>244205152</v>
      </c>
      <c r="AD4" s="18">
        <f t="shared" si="8"/>
        <v>255350922</v>
      </c>
      <c r="AE4" s="18">
        <f t="shared" si="8"/>
        <v>261017539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ht="19.5" customHeight="1">
      <c r="A5" s="20" t="s">
        <v>8</v>
      </c>
      <c r="B5" s="12"/>
      <c r="C5" s="21">
        <v>8729279.0</v>
      </c>
      <c r="D5" s="22">
        <v>9147439.0</v>
      </c>
      <c r="E5" s="22">
        <v>1.4460864E7</v>
      </c>
      <c r="F5" s="22">
        <v>2.0529469E7</v>
      </c>
      <c r="G5" s="22">
        <v>2.8774857E7</v>
      </c>
      <c r="H5" s="22">
        <v>3.1949341E7</v>
      </c>
      <c r="I5" s="22">
        <v>3.5832776E7</v>
      </c>
      <c r="J5" s="22">
        <v>4.1226959E7</v>
      </c>
      <c r="K5" s="22">
        <v>5.0575426E7</v>
      </c>
      <c r="L5" s="22">
        <v>5.8258324E7</v>
      </c>
      <c r="M5" s="22">
        <v>6.4721316E7</v>
      </c>
      <c r="N5" s="22">
        <v>7.6148526E7</v>
      </c>
      <c r="O5" s="22">
        <v>8.5416166E7</v>
      </c>
      <c r="P5" s="22">
        <v>9.704121E7</v>
      </c>
      <c r="Q5" s="22">
        <v>1.02499358E8</v>
      </c>
      <c r="R5" s="22">
        <v>1.0951139E8</v>
      </c>
      <c r="S5" s="22">
        <v>1.12911108E8</v>
      </c>
      <c r="T5" s="22">
        <v>9.9946572E7</v>
      </c>
      <c r="U5" s="22">
        <v>4.9740303E7</v>
      </c>
      <c r="V5" s="22">
        <v>6.8466177E7</v>
      </c>
      <c r="W5" s="22">
        <v>7.8323824E7</v>
      </c>
      <c r="X5" s="22">
        <v>9.0390766E7</v>
      </c>
      <c r="Y5" s="22">
        <v>9.5356111E7</v>
      </c>
      <c r="Z5" s="23">
        <f t="shared" si="5"/>
        <v>0.05493199383</v>
      </c>
      <c r="AA5" s="23">
        <f t="shared" si="6"/>
        <v>-0.001944475216</v>
      </c>
      <c r="AB5" s="23">
        <f t="shared" si="7"/>
        <v>-0.01736477729</v>
      </c>
      <c r="AC5" s="22">
        <v>9.8852768E7</v>
      </c>
      <c r="AD5" s="22">
        <v>1.04526035E8</v>
      </c>
      <c r="AE5" s="22">
        <v>1.07413932E8</v>
      </c>
      <c r="AF5" s="24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ht="19.5" customHeight="1">
      <c r="A6" s="20" t="s">
        <v>9</v>
      </c>
      <c r="B6" s="12"/>
      <c r="C6" s="21">
        <v>2.5054613E7</v>
      </c>
      <c r="D6" s="22">
        <v>2.5296216E7</v>
      </c>
      <c r="E6" s="22">
        <v>3.0596507E7</v>
      </c>
      <c r="F6" s="22">
        <v>3.5042957E7</v>
      </c>
      <c r="G6" s="22">
        <v>3.2880802E7</v>
      </c>
      <c r="H6" s="22">
        <v>3.8347191E7</v>
      </c>
      <c r="I6" s="22">
        <v>4.3605513E7</v>
      </c>
      <c r="J6" s="22">
        <v>4.4281549E7</v>
      </c>
      <c r="K6" s="22">
        <v>5.2224966E7</v>
      </c>
      <c r="L6" s="22">
        <v>5.9362145E7</v>
      </c>
      <c r="M6" s="22">
        <v>6.5630304E7</v>
      </c>
      <c r="N6" s="22">
        <v>7.3281895E7</v>
      </c>
      <c r="O6" s="22">
        <v>8.0304068E7</v>
      </c>
      <c r="P6" s="22">
        <v>8.4033321E7</v>
      </c>
      <c r="Q6" s="22">
        <v>7.1244179E7</v>
      </c>
      <c r="R6" s="22">
        <v>8.3533953E7</v>
      </c>
      <c r="S6" s="22">
        <v>9.7587056E7</v>
      </c>
      <c r="T6" s="22">
        <v>1.08427124E8</v>
      </c>
      <c r="U6" s="22">
        <v>3.1875837E7</v>
      </c>
      <c r="V6" s="22">
        <v>5.9689585E7</v>
      </c>
      <c r="W6" s="22">
        <v>1.03465515E8</v>
      </c>
      <c r="X6" s="22">
        <v>1.23302397E8</v>
      </c>
      <c r="Y6" s="22">
        <v>1.3493512E8</v>
      </c>
      <c r="Z6" s="23">
        <f t="shared" si="5"/>
        <v>0.09434304022</v>
      </c>
      <c r="AA6" s="23">
        <f t="shared" si="6"/>
        <v>0.05402911662</v>
      </c>
      <c r="AB6" s="23">
        <f t="shared" si="7"/>
        <v>0.6057335161</v>
      </c>
      <c r="AC6" s="22">
        <v>1.45352384E8</v>
      </c>
      <c r="AD6" s="22">
        <v>1.50824887E8</v>
      </c>
      <c r="AE6" s="22">
        <v>1.53603607E8</v>
      </c>
      <c r="AF6" s="2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ht="19.5" customHeight="1">
      <c r="A7" s="25" t="s">
        <v>10</v>
      </c>
      <c r="B7" s="12"/>
      <c r="C7" s="26"/>
      <c r="D7" s="27"/>
      <c r="E7" s="27"/>
      <c r="F7" s="27">
        <v>547046.0</v>
      </c>
      <c r="G7" s="27">
        <v>616217.0</v>
      </c>
      <c r="H7" s="27">
        <v>418731.0</v>
      </c>
      <c r="I7" s="27">
        <v>449091.0</v>
      </c>
      <c r="J7" s="27">
        <v>492835.0</v>
      </c>
      <c r="K7" s="27">
        <v>736121.0</v>
      </c>
      <c r="L7" s="27">
        <v>671531.0</v>
      </c>
      <c r="M7" s="27">
        <v>677896.0</v>
      </c>
      <c r="N7" s="27">
        <v>565447.0</v>
      </c>
      <c r="O7" s="27">
        <v>461105.0</v>
      </c>
      <c r="P7" s="27">
        <v>362473.0</v>
      </c>
      <c r="Q7" s="27">
        <v>409609.0</v>
      </c>
      <c r="R7" s="27">
        <v>531501.0</v>
      </c>
      <c r="S7" s="27">
        <v>449475.0</v>
      </c>
      <c r="T7" s="27">
        <v>537642.0</v>
      </c>
      <c r="U7" s="27">
        <v>87545.0</v>
      </c>
      <c r="V7" s="27">
        <v>194460.0</v>
      </c>
      <c r="W7" s="27">
        <v>436192.0</v>
      </c>
      <c r="X7" s="27">
        <v>443412.0</v>
      </c>
      <c r="Y7" s="27">
        <v>542680.0</v>
      </c>
      <c r="Z7" s="28">
        <f t="shared" si="5"/>
        <v>0.2238730571</v>
      </c>
      <c r="AA7" s="28">
        <f t="shared" si="6"/>
        <v>0.04586165218</v>
      </c>
      <c r="AB7" s="28">
        <f t="shared" si="7"/>
        <v>0.4971597885</v>
      </c>
      <c r="AC7" s="27">
        <v>554203.0</v>
      </c>
      <c r="AD7" s="27">
        <v>581542.0</v>
      </c>
      <c r="AE7" s="27">
        <v>609335.0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ht="27.0" customHeight="1">
      <c r="A8" s="29" t="s">
        <v>11</v>
      </c>
      <c r="B8" s="12"/>
      <c r="C8" s="30">
        <f t="shared" ref="C8:Y8" si="9">+C9+C12</f>
        <v>532531</v>
      </c>
      <c r="D8" s="31">
        <f t="shared" si="9"/>
        <v>529205</v>
      </c>
      <c r="E8" s="31">
        <f t="shared" si="9"/>
        <v>640549</v>
      </c>
      <c r="F8" s="31">
        <f t="shared" si="9"/>
        <v>757983</v>
      </c>
      <c r="G8" s="31">
        <f t="shared" si="9"/>
        <v>852175</v>
      </c>
      <c r="H8" s="31">
        <f t="shared" si="9"/>
        <v>935567</v>
      </c>
      <c r="I8" s="31">
        <f t="shared" si="9"/>
        <v>1010937</v>
      </c>
      <c r="J8" s="31">
        <f t="shared" si="9"/>
        <v>1066053</v>
      </c>
      <c r="K8" s="31">
        <f t="shared" si="9"/>
        <v>1213125</v>
      </c>
      <c r="L8" s="31">
        <f t="shared" si="9"/>
        <v>1335185</v>
      </c>
      <c r="M8" s="31">
        <f t="shared" si="9"/>
        <v>1376486</v>
      </c>
      <c r="N8" s="31">
        <f t="shared" si="9"/>
        <v>1504973</v>
      </c>
      <c r="O8" s="31">
        <f t="shared" si="9"/>
        <v>1678971</v>
      </c>
      <c r="P8" s="31">
        <f t="shared" si="9"/>
        <v>1814958</v>
      </c>
      <c r="Q8" s="31">
        <f t="shared" si="9"/>
        <v>1829908</v>
      </c>
      <c r="R8" s="31">
        <f t="shared" si="9"/>
        <v>1914017</v>
      </c>
      <c r="S8" s="31">
        <f t="shared" si="9"/>
        <v>2017220</v>
      </c>
      <c r="T8" s="31">
        <f t="shared" si="9"/>
        <v>2034430</v>
      </c>
      <c r="U8" s="31">
        <f t="shared" si="9"/>
        <v>1055168</v>
      </c>
      <c r="V8" s="31">
        <f t="shared" si="9"/>
        <v>1466860</v>
      </c>
      <c r="W8" s="31">
        <f t="shared" si="9"/>
        <v>1883471</v>
      </c>
      <c r="X8" s="31">
        <f t="shared" si="9"/>
        <v>2171330</v>
      </c>
      <c r="Y8" s="31">
        <f t="shared" si="9"/>
        <v>2294225</v>
      </c>
      <c r="Z8" s="32">
        <f t="shared" si="5"/>
        <v>0.05659895087</v>
      </c>
      <c r="AA8" s="32">
        <f t="shared" si="6"/>
        <v>0.02637889744</v>
      </c>
      <c r="AB8" s="32">
        <f t="shared" si="7"/>
        <v>0.2640650638</v>
      </c>
      <c r="AC8" s="31">
        <f t="shared" ref="AC8:AE8" si="10">+AC9+AC12</f>
        <v>2468060</v>
      </c>
      <c r="AD8" s="31">
        <f t="shared" si="10"/>
        <v>2595771</v>
      </c>
      <c r="AE8" s="31">
        <f t="shared" si="10"/>
        <v>2682657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ht="19.5" customHeight="1">
      <c r="A9" s="16" t="s">
        <v>12</v>
      </c>
      <c r="B9" s="12"/>
      <c r="C9" s="17">
        <v>376579.0</v>
      </c>
      <c r="D9" s="18">
        <v>374987.0</v>
      </c>
      <c r="E9" s="18">
        <v>449493.0</v>
      </c>
      <c r="F9" s="18">
        <v>551980.0</v>
      </c>
      <c r="G9" s="18">
        <v>627401.0</v>
      </c>
      <c r="H9" s="18">
        <v>688468.0</v>
      </c>
      <c r="I9" s="18">
        <v>741765.0</v>
      </c>
      <c r="J9" s="18">
        <v>788469.0</v>
      </c>
      <c r="K9" s="18">
        <v>919411.0</v>
      </c>
      <c r="L9" s="18">
        <v>1042369.0</v>
      </c>
      <c r="M9" s="18">
        <f t="shared" ref="M9:Y9" si="11">+M10+M11</f>
        <v>1093047</v>
      </c>
      <c r="N9" s="18">
        <f t="shared" si="11"/>
        <v>1223795</v>
      </c>
      <c r="O9" s="18">
        <f t="shared" si="11"/>
        <v>1345954</v>
      </c>
      <c r="P9" s="18">
        <f t="shared" si="11"/>
        <v>1456673</v>
      </c>
      <c r="Q9" s="18">
        <f t="shared" si="11"/>
        <v>1452995</v>
      </c>
      <c r="R9" s="18">
        <f t="shared" si="11"/>
        <v>1500457</v>
      </c>
      <c r="S9" s="18">
        <f t="shared" si="11"/>
        <v>1544169</v>
      </c>
      <c r="T9" s="18">
        <f t="shared" si="11"/>
        <v>1556417</v>
      </c>
      <c r="U9" s="18">
        <f t="shared" si="11"/>
        <v>853750</v>
      </c>
      <c r="V9" s="18">
        <f t="shared" si="11"/>
        <v>1204618</v>
      </c>
      <c r="W9" s="18">
        <f t="shared" si="11"/>
        <v>1488626</v>
      </c>
      <c r="X9" s="18">
        <f t="shared" si="11"/>
        <v>1685877</v>
      </c>
      <c r="Y9" s="18">
        <f t="shared" si="11"/>
        <v>1772610</v>
      </c>
      <c r="Z9" s="19">
        <f t="shared" si="5"/>
        <v>0.05144681374</v>
      </c>
      <c r="AA9" s="19">
        <f t="shared" si="6"/>
        <v>0.02205048151</v>
      </c>
      <c r="AB9" s="19">
        <f t="shared" si="7"/>
        <v>0.216889446</v>
      </c>
      <c r="AC9" s="18">
        <f t="shared" ref="AC9:AE9" si="12">+AC10+AC11</f>
        <v>1878279</v>
      </c>
      <c r="AD9" s="18">
        <f t="shared" si="12"/>
        <v>1964247</v>
      </c>
      <c r="AE9" s="18">
        <f t="shared" si="12"/>
        <v>2007115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ht="19.5" customHeight="1">
      <c r="A10" s="20" t="s">
        <v>8</v>
      </c>
      <c r="B10" s="12"/>
      <c r="C10" s="21">
        <v>157953.0</v>
      </c>
      <c r="D10" s="22">
        <v>156582.0</v>
      </c>
      <c r="E10" s="22">
        <v>196207.0</v>
      </c>
      <c r="F10" s="22">
        <v>265113.0</v>
      </c>
      <c r="G10" s="22">
        <v>341262.0</v>
      </c>
      <c r="H10" s="22">
        <v>365177.0</v>
      </c>
      <c r="I10" s="22">
        <v>385764.0</v>
      </c>
      <c r="J10" s="22">
        <v>419422.0</v>
      </c>
      <c r="K10" s="22">
        <v>497862.0</v>
      </c>
      <c r="L10" s="22">
        <v>579488.0</v>
      </c>
      <c r="M10" s="22">
        <v>600818.0</v>
      </c>
      <c r="N10" s="22">
        <v>682685.0</v>
      </c>
      <c r="O10" s="22">
        <v>754259.0</v>
      </c>
      <c r="P10" s="22">
        <v>832958.0</v>
      </c>
      <c r="Q10" s="22">
        <v>886228.0</v>
      </c>
      <c r="R10" s="22">
        <v>909332.0</v>
      </c>
      <c r="S10" s="22">
        <v>892405.0</v>
      </c>
      <c r="T10" s="22">
        <v>839894.0</v>
      </c>
      <c r="U10" s="22">
        <v>572994.0</v>
      </c>
      <c r="V10" s="22">
        <v>738352.0</v>
      </c>
      <c r="W10" s="22">
        <v>786150.0</v>
      </c>
      <c r="X10" s="22">
        <v>869404.0</v>
      </c>
      <c r="Y10" s="22">
        <v>903060.0</v>
      </c>
      <c r="Z10" s="23">
        <f t="shared" si="5"/>
        <v>0.03871157713</v>
      </c>
      <c r="AA10" s="23">
        <f t="shared" si="6"/>
        <v>0.009018846426</v>
      </c>
      <c r="AB10" s="23">
        <f t="shared" si="7"/>
        <v>0.0841603058</v>
      </c>
      <c r="AC10" s="22">
        <v>946390.0</v>
      </c>
      <c r="AD10" s="22">
        <v>992924.0</v>
      </c>
      <c r="AE10" s="22">
        <v>1017515.0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ht="19.5" customHeight="1">
      <c r="A11" s="20" t="s">
        <v>9</v>
      </c>
      <c r="B11" s="12"/>
      <c r="C11" s="21">
        <v>218626.0</v>
      </c>
      <c r="D11" s="22">
        <v>218405.0</v>
      </c>
      <c r="E11" s="22">
        <v>253286.0</v>
      </c>
      <c r="F11" s="22">
        <v>286867.0</v>
      </c>
      <c r="G11" s="22">
        <v>286139.0</v>
      </c>
      <c r="H11" s="22">
        <v>323291.0</v>
      </c>
      <c r="I11" s="22">
        <v>356001.0</v>
      </c>
      <c r="J11" s="22">
        <v>369047.0</v>
      </c>
      <c r="K11" s="22">
        <v>421549.0</v>
      </c>
      <c r="L11" s="22">
        <v>462881.0</v>
      </c>
      <c r="M11" s="22">
        <v>492229.0</v>
      </c>
      <c r="N11" s="22">
        <v>541110.0</v>
      </c>
      <c r="O11" s="22">
        <v>591695.0</v>
      </c>
      <c r="P11" s="22">
        <v>623715.0</v>
      </c>
      <c r="Q11" s="22">
        <v>566767.0</v>
      </c>
      <c r="R11" s="22">
        <v>591125.0</v>
      </c>
      <c r="S11" s="22">
        <v>651764.0</v>
      </c>
      <c r="T11" s="22">
        <v>716523.0</v>
      </c>
      <c r="U11" s="22">
        <v>280756.0</v>
      </c>
      <c r="V11" s="22">
        <v>466266.0</v>
      </c>
      <c r="W11" s="22">
        <v>702476.0</v>
      </c>
      <c r="X11" s="22">
        <v>816473.0</v>
      </c>
      <c r="Y11" s="22">
        <v>869550.0</v>
      </c>
      <c r="Z11" s="23">
        <f t="shared" si="5"/>
        <v>0.065007661</v>
      </c>
      <c r="AA11" s="23">
        <f t="shared" si="6"/>
        <v>0.03761027425</v>
      </c>
      <c r="AB11" s="23">
        <f t="shared" si="7"/>
        <v>0.3941463649</v>
      </c>
      <c r="AC11" s="22">
        <v>931889.0</v>
      </c>
      <c r="AD11" s="22">
        <v>971323.0</v>
      </c>
      <c r="AE11" s="22">
        <v>989600.0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ht="19.5" customHeight="1">
      <c r="A12" s="29" t="s">
        <v>13</v>
      </c>
      <c r="B12" s="12"/>
      <c r="C12" s="33">
        <v>155952.0</v>
      </c>
      <c r="D12" s="34">
        <v>154218.0</v>
      </c>
      <c r="E12" s="34">
        <v>191056.0</v>
      </c>
      <c r="F12" s="34">
        <v>206003.0</v>
      </c>
      <c r="G12" s="34">
        <v>224774.0</v>
      </c>
      <c r="H12" s="34">
        <v>247099.0</v>
      </c>
      <c r="I12" s="34">
        <v>269172.0</v>
      </c>
      <c r="J12" s="34">
        <v>277584.0</v>
      </c>
      <c r="K12" s="34">
        <v>293714.0</v>
      </c>
      <c r="L12" s="34">
        <v>292816.0</v>
      </c>
      <c r="M12" s="34">
        <v>283439.0</v>
      </c>
      <c r="N12" s="34">
        <v>281178.0</v>
      </c>
      <c r="O12" s="34">
        <v>333017.0</v>
      </c>
      <c r="P12" s="34">
        <v>358285.0</v>
      </c>
      <c r="Q12" s="34">
        <v>376913.0</v>
      </c>
      <c r="R12" s="34">
        <v>413560.0</v>
      </c>
      <c r="S12" s="34">
        <v>473051.0</v>
      </c>
      <c r="T12" s="34">
        <v>478013.0</v>
      </c>
      <c r="U12" s="34">
        <v>201418.0</v>
      </c>
      <c r="V12" s="34">
        <v>262242.0</v>
      </c>
      <c r="W12" s="34">
        <v>394845.0</v>
      </c>
      <c r="X12" s="34">
        <v>485453.0</v>
      </c>
      <c r="Y12" s="34">
        <v>521615.0</v>
      </c>
      <c r="Z12" s="32">
        <f t="shared" si="5"/>
        <v>0.07449124838</v>
      </c>
      <c r="AA12" s="32">
        <f t="shared" si="6"/>
        <v>0.0426165275</v>
      </c>
      <c r="AB12" s="32">
        <f t="shared" si="7"/>
        <v>0.4558661401</v>
      </c>
      <c r="AC12" s="34">
        <v>589781.0</v>
      </c>
      <c r="AD12" s="34">
        <v>631524.0</v>
      </c>
      <c r="AE12" s="34">
        <v>675542.0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ht="34.5" customHeight="1">
      <c r="A13" s="35" t="s">
        <v>14</v>
      </c>
      <c r="B13" s="12"/>
      <c r="C13" s="36">
        <v>896865.0</v>
      </c>
      <c r="D13" s="37">
        <v>964080.0</v>
      </c>
      <c r="E13" s="37">
        <v>1164349.0</v>
      </c>
      <c r="F13" s="37">
        <v>1304241.0</v>
      </c>
      <c r="G13" s="37">
        <v>1360550.0</v>
      </c>
      <c r="H13" s="37">
        <v>1546184.0</v>
      </c>
      <c r="I13" s="37">
        <v>1644014.0</v>
      </c>
      <c r="J13" s="37">
        <v>1726345.0</v>
      </c>
      <c r="K13" s="37">
        <v>2021076.0</v>
      </c>
      <c r="L13" s="37">
        <v>2249473.2350000003</v>
      </c>
      <c r="M13" s="37">
        <f t="shared" ref="M13:Y13" si="13">+M14+M15</f>
        <v>2249133</v>
      </c>
      <c r="N13" s="37">
        <f t="shared" si="13"/>
        <v>2595317</v>
      </c>
      <c r="O13" s="37">
        <f t="shared" si="13"/>
        <v>2893000.13</v>
      </c>
      <c r="P13" s="37">
        <f t="shared" si="13"/>
        <v>3072831</v>
      </c>
      <c r="Q13" s="37">
        <f t="shared" si="13"/>
        <v>3076913.699</v>
      </c>
      <c r="R13" s="37">
        <f t="shared" si="13"/>
        <v>3481210.565</v>
      </c>
      <c r="S13" s="37">
        <f t="shared" si="13"/>
        <v>3855230.638</v>
      </c>
      <c r="T13" s="37">
        <f t="shared" si="13"/>
        <v>4090167.807</v>
      </c>
      <c r="U13" s="37">
        <f t="shared" si="13"/>
        <v>2490521.167</v>
      </c>
      <c r="V13" s="37">
        <f t="shared" si="13"/>
        <v>3432517.384</v>
      </c>
      <c r="W13" s="37">
        <f t="shared" si="13"/>
        <v>4163141.562</v>
      </c>
      <c r="X13" s="37">
        <f t="shared" si="13"/>
        <v>4447864.917</v>
      </c>
      <c r="Y13" s="37">
        <f t="shared" si="13"/>
        <v>5156700.958</v>
      </c>
      <c r="Z13" s="38">
        <f t="shared" si="5"/>
        <v>0.1593654606</v>
      </c>
      <c r="AA13" s="38">
        <f t="shared" si="6"/>
        <v>0.0592085423</v>
      </c>
      <c r="AB13" s="38">
        <f t="shared" si="7"/>
        <v>0.6781596378</v>
      </c>
      <c r="AC13" s="37">
        <f t="shared" ref="AC13:AE13" si="14">+AC14+AC15</f>
        <v>5292416.03</v>
      </c>
      <c r="AD13" s="37">
        <f t="shared" si="14"/>
        <v>5675962</v>
      </c>
      <c r="AE13" s="37">
        <f t="shared" si="14"/>
        <v>6047634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>
      <c r="A14" s="39" t="s">
        <v>8</v>
      </c>
      <c r="B14" s="12"/>
      <c r="C14" s="40">
        <v>181262.0</v>
      </c>
      <c r="D14" s="41">
        <v>188979.0</v>
      </c>
      <c r="E14" s="41">
        <v>262790.0</v>
      </c>
      <c r="F14" s="41">
        <v>324597.0</v>
      </c>
      <c r="G14" s="41">
        <v>389206.0</v>
      </c>
      <c r="H14" s="41">
        <v>414294.0</v>
      </c>
      <c r="I14" s="41">
        <v>424555.0</v>
      </c>
      <c r="J14" s="41">
        <v>484833.0</v>
      </c>
      <c r="K14" s="41">
        <v>554710.0</v>
      </c>
      <c r="L14" s="41">
        <v>617834.5889999999</v>
      </c>
      <c r="M14" s="41">
        <v>633076.0</v>
      </c>
      <c r="N14" s="41">
        <v>744028.0</v>
      </c>
      <c r="O14" s="41">
        <v>810858.0</v>
      </c>
      <c r="P14" s="41">
        <v>871327.0</v>
      </c>
      <c r="Q14" s="41">
        <v>857335.1950000026</v>
      </c>
      <c r="R14" s="41">
        <v>884810.7989999999</v>
      </c>
      <c r="S14" s="41">
        <v>886024.8039999998</v>
      </c>
      <c r="T14" s="41">
        <v>833768.4730000002</v>
      </c>
      <c r="U14" s="41">
        <v>500551.2200000003</v>
      </c>
      <c r="V14" s="41">
        <v>698343.8300000007</v>
      </c>
      <c r="W14" s="41">
        <v>784022.0399999996</v>
      </c>
      <c r="X14" s="41">
        <v>838756.8679999997</v>
      </c>
      <c r="Y14" s="41">
        <v>898648.336</v>
      </c>
      <c r="Z14" s="42">
        <f t="shared" si="5"/>
        <v>0.07140504035</v>
      </c>
      <c r="AA14" s="42">
        <f t="shared" si="6"/>
        <v>0.003436385168</v>
      </c>
      <c r="AB14" s="42">
        <f t="shared" si="7"/>
        <v>0.03135600756</v>
      </c>
      <c r="AC14" s="41">
        <v>896264.212</v>
      </c>
      <c r="AD14" s="41">
        <v>918408.0</v>
      </c>
      <c r="AE14" s="41">
        <v>948414.0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>
      <c r="A15" s="43" t="s">
        <v>9</v>
      </c>
      <c r="B15" s="44"/>
      <c r="C15" s="45">
        <v>715603.0</v>
      </c>
      <c r="D15" s="46">
        <v>775101.0</v>
      </c>
      <c r="E15" s="46">
        <v>901559.0</v>
      </c>
      <c r="F15" s="46">
        <v>979644.0</v>
      </c>
      <c r="G15" s="46">
        <v>971344.0</v>
      </c>
      <c r="H15" s="46">
        <v>1131890.0</v>
      </c>
      <c r="I15" s="46">
        <v>1219459.0</v>
      </c>
      <c r="J15" s="46">
        <v>1241512.0</v>
      </c>
      <c r="K15" s="46">
        <v>1466366.0</v>
      </c>
      <c r="L15" s="46">
        <v>1631638.6460000002</v>
      </c>
      <c r="M15" s="46">
        <v>1616057.0</v>
      </c>
      <c r="N15" s="46">
        <v>1851289.0</v>
      </c>
      <c r="O15" s="46">
        <v>2082142.13</v>
      </c>
      <c r="P15" s="46">
        <v>2201504.0</v>
      </c>
      <c r="Q15" s="46">
        <v>2219578.5040000076</v>
      </c>
      <c r="R15" s="46">
        <v>2596399.765999999</v>
      </c>
      <c r="S15" s="46">
        <v>2969205.8339999984</v>
      </c>
      <c r="T15" s="46">
        <v>3256399.333999998</v>
      </c>
      <c r="U15" s="46">
        <v>1989969.9470000004</v>
      </c>
      <c r="V15" s="46">
        <v>2734173.5539999963</v>
      </c>
      <c r="W15" s="46">
        <v>3379119.521999997</v>
      </c>
      <c r="X15" s="46">
        <v>3609108.0490000006</v>
      </c>
      <c r="Y15" s="46">
        <v>4258052.622</v>
      </c>
      <c r="Z15" s="47">
        <f t="shared" si="5"/>
        <v>0.1798074661</v>
      </c>
      <c r="AA15" s="47">
        <f t="shared" si="6"/>
        <v>0.07604985654</v>
      </c>
      <c r="AB15" s="47">
        <f t="shared" si="7"/>
        <v>0.934156205</v>
      </c>
      <c r="AC15" s="46">
        <v>4396151.818</v>
      </c>
      <c r="AD15" s="46">
        <v>4757554.0</v>
      </c>
      <c r="AE15" s="46">
        <v>5099220.0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ht="31.5" customHeight="1">
      <c r="A16" s="48" t="s">
        <v>15</v>
      </c>
      <c r="B16" s="12"/>
      <c r="C16" s="49">
        <v>251987.0</v>
      </c>
      <c r="D16" s="50">
        <v>276283.0</v>
      </c>
      <c r="E16" s="50">
        <v>324588.0</v>
      </c>
      <c r="F16" s="50">
        <v>331116.0</v>
      </c>
      <c r="G16" s="50">
        <v>357221.0</v>
      </c>
      <c r="H16" s="50">
        <v>395831.0</v>
      </c>
      <c r="I16" s="50">
        <v>402039.0</v>
      </c>
      <c r="J16" s="50">
        <v>425228.0</v>
      </c>
      <c r="K16" s="50">
        <v>541357.0</v>
      </c>
      <c r="L16" s="50">
        <v>584475.0</v>
      </c>
      <c r="M16" s="50">
        <v>624058.0</v>
      </c>
      <c r="N16" s="50">
        <v>731962.0</v>
      </c>
      <c r="O16" s="50">
        <f t="shared" ref="O16:Y16" si="15">+O17+O18</f>
        <v>842241.493</v>
      </c>
      <c r="P16" s="50">
        <f t="shared" si="15"/>
        <v>904761.757</v>
      </c>
      <c r="Q16" s="51">
        <f t="shared" si="15"/>
        <v>1032943.403</v>
      </c>
      <c r="R16" s="51">
        <f t="shared" si="15"/>
        <v>1256223.623</v>
      </c>
      <c r="S16" s="51">
        <f t="shared" si="15"/>
        <v>1388622.949</v>
      </c>
      <c r="T16" s="51">
        <f t="shared" si="15"/>
        <v>1522403.851</v>
      </c>
      <c r="U16" s="51">
        <f t="shared" si="15"/>
        <v>1368576.626</v>
      </c>
      <c r="V16" s="51">
        <f t="shared" si="15"/>
        <v>1711150.513</v>
      </c>
      <c r="W16" s="51">
        <f t="shared" si="15"/>
        <v>1678249.275</v>
      </c>
      <c r="X16" s="51">
        <f t="shared" si="15"/>
        <v>1670078.271</v>
      </c>
      <c r="Y16" s="51">
        <f t="shared" si="15"/>
        <v>2166797.249</v>
      </c>
      <c r="Z16" s="38">
        <f t="shared" si="5"/>
        <v>0.2974225739</v>
      </c>
      <c r="AA16" s="38">
        <f t="shared" si="6"/>
        <v>0.1019012383</v>
      </c>
      <c r="AB16" s="38">
        <f t="shared" si="7"/>
        <v>1.394881561</v>
      </c>
      <c r="AC16" s="51">
        <f t="shared" ref="AC16:AE16" si="16">+AC17+AC18</f>
        <v>2137588.245</v>
      </c>
      <c r="AD16" s="51">
        <f t="shared" si="16"/>
        <v>2240877</v>
      </c>
      <c r="AE16" s="51">
        <f t="shared" si="16"/>
        <v>2340950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>
      <c r="A17" s="39" t="s">
        <v>8</v>
      </c>
      <c r="B17" s="12"/>
      <c r="C17" s="40">
        <v>53640.0</v>
      </c>
      <c r="D17" s="41">
        <v>54104.0</v>
      </c>
      <c r="E17" s="41">
        <v>70998.0</v>
      </c>
      <c r="F17" s="41">
        <v>72204.0</v>
      </c>
      <c r="G17" s="41">
        <v>70698.0</v>
      </c>
      <c r="H17" s="41">
        <v>73252.0</v>
      </c>
      <c r="I17" s="41">
        <v>66554.0</v>
      </c>
      <c r="J17" s="41">
        <v>64518.0</v>
      </c>
      <c r="K17" s="41">
        <v>71216.0</v>
      </c>
      <c r="L17" s="41">
        <v>76269.0</v>
      </c>
      <c r="M17" s="41">
        <v>84431.0</v>
      </c>
      <c r="N17" s="41">
        <v>100097.0</v>
      </c>
      <c r="O17" s="41">
        <v>104941.1</v>
      </c>
      <c r="P17" s="41">
        <v>101447.36700000001</v>
      </c>
      <c r="Q17" s="41">
        <v>81587.264</v>
      </c>
      <c r="R17" s="41">
        <v>75254.445</v>
      </c>
      <c r="S17" s="41">
        <v>52807.453999999976</v>
      </c>
      <c r="T17" s="41">
        <v>65666.66299999999</v>
      </c>
      <c r="U17" s="41">
        <v>51043.28600000002</v>
      </c>
      <c r="V17" s="41">
        <v>106317.11999999979</v>
      </c>
      <c r="W17" s="41">
        <v>105088.46699999977</v>
      </c>
      <c r="X17" s="41">
        <v>109461.16299999996</v>
      </c>
      <c r="Y17" s="41">
        <v>115860.649</v>
      </c>
      <c r="Z17" s="42">
        <f t="shared" si="5"/>
        <v>0.05846353012</v>
      </c>
      <c r="AA17" s="42">
        <f t="shared" si="6"/>
        <v>0.01487037502</v>
      </c>
      <c r="AB17" s="42">
        <f t="shared" si="7"/>
        <v>0.1420764523</v>
      </c>
      <c r="AC17" s="41">
        <v>110141.10399999999</v>
      </c>
      <c r="AD17" s="41">
        <v>116334.0</v>
      </c>
      <c r="AE17" s="41">
        <v>118568.0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>
      <c r="A18" s="43" t="s">
        <v>9</v>
      </c>
      <c r="B18" s="44"/>
      <c r="C18" s="52">
        <v>198347.0</v>
      </c>
      <c r="D18" s="53">
        <v>222179.0</v>
      </c>
      <c r="E18" s="53">
        <v>253590.0</v>
      </c>
      <c r="F18" s="53">
        <v>258912.0</v>
      </c>
      <c r="G18" s="53">
        <v>286523.0</v>
      </c>
      <c r="H18" s="53">
        <v>322579.0</v>
      </c>
      <c r="I18" s="53">
        <v>335485.0</v>
      </c>
      <c r="J18" s="53">
        <v>360710.0</v>
      </c>
      <c r="K18" s="53">
        <v>470141.0</v>
      </c>
      <c r="L18" s="53">
        <v>508206.0</v>
      </c>
      <c r="M18" s="53">
        <v>539627.0</v>
      </c>
      <c r="N18" s="53">
        <v>631865.0</v>
      </c>
      <c r="O18" s="53">
        <v>737300.393</v>
      </c>
      <c r="P18" s="53">
        <v>803314.39</v>
      </c>
      <c r="Q18" s="53">
        <v>951356.1389999997</v>
      </c>
      <c r="R18" s="53">
        <v>1180969.1780000003</v>
      </c>
      <c r="S18" s="53">
        <v>1335815.4949999999</v>
      </c>
      <c r="T18" s="53">
        <v>1456737.188</v>
      </c>
      <c r="U18" s="53">
        <v>1317533.34</v>
      </c>
      <c r="V18" s="53">
        <v>1604833.3929999967</v>
      </c>
      <c r="W18" s="53">
        <v>1573160.8079999997</v>
      </c>
      <c r="X18" s="53">
        <v>1560617.108</v>
      </c>
      <c r="Y18" s="53">
        <v>2050936.6</v>
      </c>
      <c r="Z18" s="54">
        <f t="shared" si="5"/>
        <v>0.3141830815</v>
      </c>
      <c r="AA18" s="54">
        <f t="shared" si="6"/>
        <v>0.1097614436</v>
      </c>
      <c r="AB18" s="54">
        <f t="shared" si="7"/>
        <v>1.553093316</v>
      </c>
      <c r="AC18" s="53">
        <v>2027447.141</v>
      </c>
      <c r="AD18" s="53">
        <v>2124543.0</v>
      </c>
      <c r="AE18" s="53">
        <v>2222382.0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ht="19.5" customHeight="1">
      <c r="A19" s="55" t="s">
        <v>16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7"/>
      <c r="AD19" s="57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ht="19.5" customHeight="1">
      <c r="A20" s="55" t="s">
        <v>17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8"/>
      <c r="AD20" s="59"/>
      <c r="AE20" s="60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ht="19.5" customHeight="1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61"/>
      <c r="AD21" s="62"/>
      <c r="AE21" s="63"/>
      <c r="AF21" s="63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ht="15.75" customHeight="1">
      <c r="A22" s="63"/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5"/>
      <c r="U22" s="61"/>
      <c r="V22" s="61"/>
      <c r="W22" s="61"/>
      <c r="X22" s="61"/>
      <c r="Y22" s="61"/>
      <c r="Z22" s="63"/>
      <c r="AA22" s="63"/>
      <c r="AB22" s="62"/>
      <c r="AC22" s="62"/>
      <c r="AD22" s="62"/>
      <c r="AE22" s="58"/>
      <c r="AF22" s="58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ht="15.75" customHeight="1">
      <c r="A23" s="63"/>
      <c r="B23" s="63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1"/>
      <c r="V23" s="61"/>
      <c r="W23" s="61"/>
      <c r="X23" s="61"/>
      <c r="Y23" s="61"/>
      <c r="Z23" s="63"/>
      <c r="AA23" s="63"/>
      <c r="AB23" s="63"/>
      <c r="AC23" s="58"/>
      <c r="AD23" s="63"/>
      <c r="AE23" s="63"/>
      <c r="AF23" s="63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ht="15.75" customHeight="1">
      <c r="A24" s="63"/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3"/>
      <c r="AA24" s="63"/>
      <c r="AB24" s="63"/>
      <c r="AC24" s="58"/>
      <c r="AD24" s="58"/>
      <c r="AE24" s="61"/>
      <c r="AF24" s="64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ht="15.75" customHeight="1">
      <c r="A25" s="63"/>
      <c r="B25" s="63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3"/>
      <c r="X25" s="63"/>
      <c r="Y25" s="63"/>
      <c r="Z25" s="63"/>
      <c r="AA25" s="63"/>
      <c r="AB25" s="63"/>
      <c r="AC25" s="61"/>
      <c r="AD25" s="61"/>
      <c r="AE25" s="61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ht="15.75" customHeight="1">
      <c r="A26" s="63"/>
      <c r="B26" s="63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3"/>
      <c r="AA26" s="67"/>
      <c r="AB26" s="63"/>
      <c r="AC26" s="64"/>
      <c r="AD26" s="64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ht="15.75" customHeight="1">
      <c r="A27" s="63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3"/>
      <c r="X27" s="63"/>
      <c r="Y27" s="63"/>
      <c r="Z27" s="63"/>
      <c r="AA27" s="63"/>
      <c r="AB27" s="63"/>
      <c r="AC27" s="63"/>
      <c r="AD27" s="63"/>
      <c r="AE27" s="63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ht="15.75" customHeight="1">
      <c r="A28" s="63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3"/>
      <c r="AA28" s="63"/>
      <c r="AB28" s="63"/>
      <c r="AC28" s="68"/>
      <c r="AD28" s="68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 ht="15.75" customHeight="1">
      <c r="A29" s="63"/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3"/>
      <c r="AA29" s="63"/>
      <c r="AB29" s="63"/>
      <c r="AC29" s="68"/>
      <c r="AD29" s="68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ht="15.75" customHeight="1">
      <c r="A30" s="63"/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3"/>
      <c r="AA30" s="63"/>
      <c r="AB30" s="63"/>
      <c r="AC30" s="68"/>
      <c r="AD30" s="68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ht="15.75" customHeight="1">
      <c r="A31" s="63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3"/>
      <c r="AA31" s="63"/>
      <c r="AB31" s="63"/>
      <c r="AC31" s="68"/>
      <c r="AD31" s="68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ht="15.75" customHeight="1">
      <c r="A32" s="63"/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3"/>
      <c r="AA32" s="63"/>
      <c r="AB32" s="63"/>
      <c r="AC32" s="68"/>
      <c r="AD32" s="68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ht="15.75" customHeight="1">
      <c r="A33" s="63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3"/>
      <c r="AA33" s="63"/>
      <c r="AB33" s="63"/>
      <c r="AC33" s="68"/>
      <c r="AD33" s="68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ht="15.75" customHeight="1">
      <c r="A34" s="63"/>
      <c r="B34" s="63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3"/>
      <c r="AA34" s="63"/>
      <c r="AB34" s="63"/>
      <c r="AC34" s="68"/>
      <c r="AD34" s="68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ht="15.75" customHeight="1">
      <c r="A35" s="63"/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3"/>
      <c r="AA35" s="63"/>
      <c r="AB35" s="63"/>
      <c r="AC35" s="68"/>
      <c r="AD35" s="68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ht="15.75" customHeight="1">
      <c r="A36" s="63"/>
      <c r="B36" s="63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3"/>
      <c r="AA36" s="63"/>
      <c r="AB36" s="63"/>
      <c r="AC36" s="68"/>
      <c r="AD36" s="68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</row>
    <row r="37" ht="15.75" customHeight="1">
      <c r="A37" s="63"/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3"/>
      <c r="AA37" s="63"/>
      <c r="AB37" s="63"/>
      <c r="AC37" s="68"/>
      <c r="AD37" s="68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 ht="15.75" customHeight="1">
      <c r="A38" s="63"/>
      <c r="B38" s="63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3"/>
      <c r="AA38" s="63"/>
      <c r="AB38" s="63"/>
      <c r="AC38" s="68"/>
      <c r="AD38" s="68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 ht="15.75" customHeight="1">
      <c r="A39" s="63"/>
      <c r="B39" s="63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3"/>
      <c r="AA39" s="63"/>
      <c r="AB39" s="63"/>
      <c r="AC39" s="68"/>
      <c r="AD39" s="68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 ht="15.75" customHeight="1">
      <c r="A40" s="63"/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3"/>
      <c r="AA40" s="63"/>
      <c r="AB40" s="63"/>
      <c r="AC40" s="64"/>
      <c r="AD40" s="64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</row>
    <row r="41" ht="15.75" customHeight="1">
      <c r="A41" s="63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3"/>
      <c r="AA41" s="63"/>
      <c r="AB41" s="63"/>
      <c r="AC41" s="64"/>
      <c r="AD41" s="64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</row>
    <row r="42" ht="15.75" customHeight="1">
      <c r="A42" s="63"/>
      <c r="B42" s="63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3"/>
      <c r="AA42" s="63"/>
      <c r="AB42" s="63"/>
      <c r="AC42" s="64"/>
      <c r="AD42" s="64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</row>
    <row r="43" ht="15.75" customHeight="1">
      <c r="A43" s="63"/>
      <c r="B43" s="63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3"/>
      <c r="AA43" s="63"/>
      <c r="AB43" s="63"/>
      <c r="AC43" s="64"/>
      <c r="AD43" s="64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</row>
    <row r="44" ht="15.75" customHeight="1">
      <c r="A44" s="63"/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3"/>
      <c r="AA44" s="63"/>
      <c r="AB44" s="63"/>
      <c r="AC44" s="64"/>
      <c r="AD44" s="64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</row>
    <row r="45" ht="15.75" customHeight="1">
      <c r="A45" s="63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3"/>
      <c r="AA45" s="63"/>
      <c r="AB45" s="63"/>
      <c r="AC45" s="64"/>
      <c r="AD45" s="64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</row>
    <row r="46" ht="15.75" customHeight="1">
      <c r="A46" s="63"/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3"/>
      <c r="AA46" s="63"/>
      <c r="AB46" s="63"/>
      <c r="AC46" s="64"/>
      <c r="AD46" s="64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 ht="15.75" customHeight="1">
      <c r="A47" s="63"/>
      <c r="B47" s="63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3"/>
      <c r="AA47" s="63"/>
      <c r="AB47" s="63"/>
      <c r="AC47" s="64"/>
      <c r="AD47" s="64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</row>
    <row r="48" ht="15.75" customHeight="1">
      <c r="A48" s="63"/>
      <c r="B48" s="63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3"/>
      <c r="AA48" s="63"/>
      <c r="AB48" s="63"/>
      <c r="AC48" s="64"/>
      <c r="AD48" s="64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 ht="15.75" customHeight="1">
      <c r="A49" s="63"/>
      <c r="B49" s="63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3"/>
      <c r="AA49" s="63"/>
      <c r="AB49" s="63"/>
      <c r="AC49" s="64"/>
      <c r="AD49" s="64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</row>
    <row r="50" ht="15.75" customHeight="1">
      <c r="A50" s="63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3"/>
      <c r="AA50" s="63"/>
      <c r="AB50" s="63"/>
      <c r="AC50" s="64"/>
      <c r="AD50" s="64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 ht="15.75" customHeight="1">
      <c r="A51" s="63"/>
      <c r="B51" s="63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3"/>
      <c r="AA51" s="63"/>
      <c r="AB51" s="63"/>
      <c r="AC51" s="64"/>
      <c r="AD51" s="64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 ht="15.75" customHeight="1">
      <c r="A52" s="63"/>
      <c r="B52" s="63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3"/>
      <c r="AA52" s="63"/>
      <c r="AB52" s="63"/>
      <c r="AC52" s="64"/>
      <c r="AD52" s="64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 ht="15.75" customHeight="1">
      <c r="A53" s="63"/>
      <c r="B53" s="63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3"/>
      <c r="AA53" s="63"/>
      <c r="AB53" s="63"/>
      <c r="AC53" s="64"/>
      <c r="AD53" s="64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</row>
    <row r="54" ht="15.75" customHeight="1">
      <c r="A54" s="63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3"/>
      <c r="AA54" s="63"/>
      <c r="AB54" s="63"/>
      <c r="AC54" s="64"/>
      <c r="AD54" s="64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</row>
    <row r="55" ht="15.75" customHeight="1">
      <c r="A55" s="63"/>
      <c r="B55" s="63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3"/>
      <c r="AA55" s="63"/>
      <c r="AB55" s="63"/>
      <c r="AC55" s="64"/>
      <c r="AD55" s="64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</row>
    <row r="56" ht="15.75" customHeight="1">
      <c r="A56" s="63"/>
      <c r="B56" s="63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3"/>
      <c r="AA56" s="63"/>
      <c r="AB56" s="63"/>
      <c r="AC56" s="64"/>
      <c r="AD56" s="64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ht="15.75" customHeight="1">
      <c r="A57" s="63"/>
      <c r="B57" s="63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3"/>
      <c r="AA57" s="63"/>
      <c r="AB57" s="63"/>
      <c r="AC57" s="64"/>
      <c r="AD57" s="64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 ht="15.75" customHeight="1">
      <c r="A58" s="63"/>
      <c r="B58" s="63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3"/>
      <c r="AA58" s="63"/>
      <c r="AB58" s="63"/>
      <c r="AC58" s="64"/>
      <c r="AD58" s="64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</row>
    <row r="59" ht="15.75" customHeight="1">
      <c r="A59" s="63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3"/>
      <c r="AA59" s="63"/>
      <c r="AB59" s="63"/>
      <c r="AC59" s="64"/>
      <c r="AD59" s="64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</row>
    <row r="60" ht="15.75" customHeight="1">
      <c r="A60" s="63"/>
      <c r="B60" s="63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3"/>
      <c r="AA60" s="63"/>
      <c r="AB60" s="63"/>
      <c r="AC60" s="64"/>
      <c r="AD60" s="64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ht="15.75" customHeight="1">
      <c r="A61" s="63"/>
      <c r="B61" s="63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3"/>
      <c r="AA61" s="63"/>
      <c r="AB61" s="63"/>
      <c r="AC61" s="64"/>
      <c r="AD61" s="64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 ht="15.75" customHeight="1">
      <c r="A62" s="69" t="s">
        <v>18</v>
      </c>
      <c r="B62" s="70" t="s">
        <v>19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2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0"/>
      <c r="AA62" s="70"/>
      <c r="AB62" s="70"/>
      <c r="AC62" s="71"/>
      <c r="AD62" s="71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</row>
    <row r="63" ht="15.75" customHeight="1">
      <c r="A63" s="70"/>
      <c r="B63" s="70" t="s">
        <v>20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2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0"/>
      <c r="AA63" s="70"/>
      <c r="AB63" s="70"/>
      <c r="AC63" s="71"/>
      <c r="AD63" s="71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</row>
    <row r="64" ht="15.75" customHeight="1">
      <c r="A64" s="70"/>
      <c r="B64" s="70" t="s">
        <v>21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2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4"/>
      <c r="AA64" s="74"/>
      <c r="AB64" s="74"/>
      <c r="AC64" s="71"/>
      <c r="AD64" s="71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</row>
    <row r="65" ht="15.75" customHeight="1">
      <c r="A65" s="70"/>
      <c r="B65" s="75" t="s">
        <v>22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2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4"/>
      <c r="AA65" s="74"/>
      <c r="AB65" s="74"/>
      <c r="AC65" s="71"/>
      <c r="AD65" s="71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</row>
    <row r="66" ht="18.0" customHeight="1">
      <c r="A66" s="70" t="s">
        <v>23</v>
      </c>
      <c r="B66" s="70" t="s">
        <v>24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2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7"/>
      <c r="AA66" s="77"/>
      <c r="AB66" s="77"/>
      <c r="AC66" s="71"/>
      <c r="AD66" s="71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</row>
    <row r="67" ht="78.0" customHeight="1">
      <c r="A67" s="78" t="s">
        <v>25</v>
      </c>
      <c r="B67" s="79" t="s">
        <v>26</v>
      </c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77"/>
      <c r="AC67" s="71"/>
      <c r="AD67" s="71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</row>
    <row r="68" ht="15.75" customHeight="1">
      <c r="A68" s="6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3"/>
      <c r="AA68" s="63"/>
      <c r="AB68" s="63"/>
      <c r="AC68" s="64"/>
      <c r="AD68" s="64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ht="15.75" customHeight="1">
      <c r="A69" s="6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3"/>
      <c r="AA69" s="63"/>
      <c r="AB69" s="63"/>
      <c r="AC69" s="64"/>
      <c r="AD69" s="64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ht="15.75" customHeight="1">
      <c r="A70" s="6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3"/>
      <c r="AA70" s="63"/>
      <c r="AB70" s="63"/>
      <c r="AC70" s="64"/>
      <c r="AD70" s="64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ht="15.75" customHeight="1">
      <c r="A71" s="6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3"/>
      <c r="AA71" s="63"/>
      <c r="AB71" s="63"/>
      <c r="AC71" s="64"/>
      <c r="AD71" s="64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ht="15.75" customHeight="1">
      <c r="A72" s="6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3"/>
      <c r="AA72" s="63"/>
      <c r="AB72" s="63"/>
      <c r="AC72" s="64"/>
      <c r="AD72" s="64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ht="15.75" customHeight="1">
      <c r="A73" s="63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3"/>
      <c r="AA73" s="63"/>
      <c r="AB73" s="63"/>
      <c r="AC73" s="64"/>
      <c r="AD73" s="64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ht="15.75" customHeight="1">
      <c r="A74" s="63"/>
      <c r="B74" s="63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3"/>
      <c r="AA74" s="63"/>
      <c r="AB74" s="63"/>
      <c r="AC74" s="64"/>
      <c r="AD74" s="64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ht="15.75" customHeight="1">
      <c r="A75" s="63"/>
      <c r="B75" s="63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3"/>
      <c r="AA75" s="63"/>
      <c r="AB75" s="63"/>
      <c r="AC75" s="64"/>
      <c r="AD75" s="64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ht="15.75" customHeight="1">
      <c r="A76" s="63"/>
      <c r="B76" s="63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3"/>
      <c r="AA76" s="63"/>
      <c r="AB76" s="63"/>
      <c r="AC76" s="64"/>
      <c r="AD76" s="64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ht="15.75" customHeight="1">
      <c r="A77" s="63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3"/>
      <c r="AA77" s="63"/>
      <c r="AB77" s="63"/>
      <c r="AC77" s="64"/>
      <c r="AD77" s="64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ht="15.75" customHeight="1">
      <c r="A78" s="63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3"/>
      <c r="AA78" s="63"/>
      <c r="AB78" s="63"/>
      <c r="AC78" s="64"/>
      <c r="AD78" s="64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ht="15.75" customHeight="1">
      <c r="A79" s="63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3"/>
      <c r="AA79" s="63"/>
      <c r="AB79" s="63"/>
      <c r="AC79" s="64"/>
      <c r="AD79" s="64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ht="15.75" customHeight="1">
      <c r="A80" s="63"/>
      <c r="B80" s="63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3"/>
      <c r="AA80" s="63"/>
      <c r="AB80" s="63"/>
      <c r="AC80" s="64"/>
      <c r="AD80" s="64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ht="15.75" customHeight="1">
      <c r="A81" s="63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3"/>
      <c r="AA81" s="63"/>
      <c r="AB81" s="63"/>
      <c r="AC81" s="64"/>
      <c r="AD81" s="64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ht="15.75" customHeight="1">
      <c r="A82" s="63"/>
      <c r="B82" s="63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3"/>
      <c r="AA82" s="63"/>
      <c r="AB82" s="63"/>
      <c r="AC82" s="64"/>
      <c r="AD82" s="64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ht="15.75" customHeight="1">
      <c r="A83" s="63"/>
      <c r="B83" s="63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3"/>
      <c r="AA83" s="63"/>
      <c r="AB83" s="63"/>
      <c r="AC83" s="64"/>
      <c r="AD83" s="64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ht="15.75" customHeight="1">
      <c r="A84" s="63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3"/>
      <c r="AA84" s="63"/>
      <c r="AB84" s="63"/>
      <c r="AC84" s="64"/>
      <c r="AD84" s="64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 ht="15.75" customHeight="1">
      <c r="A85" s="63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3"/>
      <c r="AA85" s="63"/>
      <c r="AB85" s="63"/>
      <c r="AC85" s="64"/>
      <c r="AD85" s="64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ht="15.75" customHeight="1">
      <c r="A86" s="63"/>
      <c r="B86" s="63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3"/>
      <c r="AA86" s="63"/>
      <c r="AB86" s="63"/>
      <c r="AC86" s="64"/>
      <c r="AD86" s="64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ht="15.75" customHeight="1">
      <c r="A87" s="63"/>
      <c r="B87" s="63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3"/>
      <c r="AA87" s="63"/>
      <c r="AB87" s="63"/>
      <c r="AC87" s="64"/>
      <c r="AD87" s="64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ht="15.75" customHeight="1">
      <c r="A88" s="63"/>
      <c r="B88" s="63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3"/>
      <c r="AA88" s="63"/>
      <c r="AB88" s="63"/>
      <c r="AC88" s="64"/>
      <c r="AD88" s="64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 ht="15.75" customHeight="1">
      <c r="A89" s="63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3"/>
      <c r="AA89" s="63"/>
      <c r="AB89" s="63"/>
      <c r="AC89" s="64"/>
      <c r="AD89" s="64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 ht="15.75" customHeight="1">
      <c r="A90" s="63"/>
      <c r="B90" s="63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3"/>
      <c r="AA90" s="63"/>
      <c r="AB90" s="63"/>
      <c r="AC90" s="64"/>
      <c r="AD90" s="64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 ht="15.75" customHeight="1">
      <c r="A91" s="63"/>
      <c r="B91" s="63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3"/>
      <c r="AA91" s="63"/>
      <c r="AB91" s="63"/>
      <c r="AC91" s="64"/>
      <c r="AD91" s="64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ht="15.75" customHeight="1">
      <c r="A92" s="63"/>
      <c r="B92" s="63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3"/>
      <c r="AA92" s="63"/>
      <c r="AB92" s="63"/>
      <c r="AC92" s="64"/>
      <c r="AD92" s="64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ht="15.75" customHeight="1">
      <c r="A93" s="63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3"/>
      <c r="AA93" s="63"/>
      <c r="AB93" s="63"/>
      <c r="AC93" s="64"/>
      <c r="AD93" s="64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ht="15.75" customHeight="1">
      <c r="A94" s="63"/>
      <c r="B94" s="63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3"/>
      <c r="AA94" s="63"/>
      <c r="AB94" s="63"/>
      <c r="AC94" s="64"/>
      <c r="AD94" s="64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 ht="15.75" customHeight="1">
      <c r="A95" s="63"/>
      <c r="B95" s="63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3"/>
      <c r="AA95" s="63"/>
      <c r="AB95" s="63"/>
      <c r="AC95" s="64"/>
      <c r="AD95" s="64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 ht="15.75" customHeight="1">
      <c r="A96" s="63"/>
      <c r="B96" s="63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3"/>
      <c r="AA96" s="63"/>
      <c r="AB96" s="63"/>
      <c r="AC96" s="64"/>
      <c r="AD96" s="64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 ht="15.75" customHeight="1">
      <c r="A97" s="63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3"/>
      <c r="AA97" s="63"/>
      <c r="AB97" s="63"/>
      <c r="AC97" s="64"/>
      <c r="AD97" s="64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 ht="15.75" customHeight="1">
      <c r="A98" s="63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3"/>
      <c r="AA98" s="63"/>
      <c r="AB98" s="63"/>
      <c r="AC98" s="64"/>
      <c r="AD98" s="64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 ht="15.75" customHeight="1">
      <c r="A99" s="63"/>
      <c r="B99" s="63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3"/>
      <c r="AA99" s="63"/>
      <c r="AB99" s="63"/>
      <c r="AC99" s="64"/>
      <c r="AD99" s="64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 ht="15.75" customHeight="1">
      <c r="A100" s="63"/>
      <c r="B100" s="63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3"/>
      <c r="AA100" s="63"/>
      <c r="AB100" s="63"/>
      <c r="AC100" s="64"/>
      <c r="AD100" s="64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 ht="15.75" customHeight="1">
      <c r="A101" s="63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3"/>
      <c r="AA101" s="63"/>
      <c r="AB101" s="63"/>
      <c r="AC101" s="64"/>
      <c r="AD101" s="64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 ht="15.75" customHeight="1">
      <c r="A102" s="63"/>
      <c r="B102" s="63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3"/>
      <c r="AA102" s="63"/>
      <c r="AB102" s="63"/>
      <c r="AC102" s="64"/>
      <c r="AD102" s="64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 ht="15.75" customHeight="1">
      <c r="A103" s="63"/>
      <c r="B103" s="63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3"/>
      <c r="AA103" s="63"/>
      <c r="AB103" s="63"/>
      <c r="AC103" s="64"/>
      <c r="AD103" s="64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 ht="15.75" customHeight="1">
      <c r="A104" s="63"/>
      <c r="B104" s="63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3"/>
      <c r="AA104" s="63"/>
      <c r="AB104" s="63"/>
      <c r="AC104" s="64"/>
      <c r="AD104" s="64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 ht="15.75" customHeight="1">
      <c r="A105" s="63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3"/>
      <c r="AA105" s="63"/>
      <c r="AB105" s="63"/>
      <c r="AC105" s="64"/>
      <c r="AD105" s="64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ht="15.75" customHeight="1">
      <c r="A106" s="63"/>
      <c r="B106" s="63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3"/>
      <c r="AA106" s="63"/>
      <c r="AB106" s="63"/>
      <c r="AC106" s="64"/>
      <c r="AD106" s="64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 ht="15.75" customHeight="1">
      <c r="A107" s="63"/>
      <c r="B107" s="63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3"/>
      <c r="AA107" s="63"/>
      <c r="AB107" s="63"/>
      <c r="AC107" s="64"/>
      <c r="AD107" s="64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ht="15.75" customHeight="1">
      <c r="A108" s="63"/>
      <c r="B108" s="63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3"/>
      <c r="AA108" s="63"/>
      <c r="AB108" s="63"/>
      <c r="AC108" s="64"/>
      <c r="AD108" s="64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 ht="15.75" customHeight="1">
      <c r="A109" s="63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3"/>
      <c r="AA109" s="63"/>
      <c r="AB109" s="63"/>
      <c r="AC109" s="64"/>
      <c r="AD109" s="64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ht="15.75" customHeight="1">
      <c r="A110" s="63"/>
      <c r="B110" s="63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3"/>
      <c r="AA110" s="63"/>
      <c r="AB110" s="63"/>
      <c r="AC110" s="64"/>
      <c r="AD110" s="64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 ht="15.75" customHeight="1">
      <c r="A111" s="63"/>
      <c r="B111" s="63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3"/>
      <c r="AA111" s="63"/>
      <c r="AB111" s="63"/>
      <c r="AC111" s="64"/>
      <c r="AD111" s="64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ht="15.75" customHeight="1">
      <c r="A112" s="63"/>
      <c r="B112" s="63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3"/>
      <c r="AA112" s="63"/>
      <c r="AB112" s="63"/>
      <c r="AC112" s="64"/>
      <c r="AD112" s="64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 ht="15.75" customHeight="1">
      <c r="A113" s="63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3"/>
      <c r="AA113" s="63"/>
      <c r="AB113" s="63"/>
      <c r="AC113" s="64"/>
      <c r="AD113" s="64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ht="15.75" customHeight="1">
      <c r="A114" s="63"/>
      <c r="B114" s="63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3"/>
      <c r="AA114" s="63"/>
      <c r="AB114" s="63"/>
      <c r="AC114" s="64"/>
      <c r="AD114" s="64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ht="15.75" customHeight="1">
      <c r="A115" s="63"/>
      <c r="B115" s="63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3"/>
      <c r="AA115" s="63"/>
      <c r="AB115" s="63"/>
      <c r="AC115" s="64"/>
      <c r="AD115" s="64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 ht="15.75" customHeight="1">
      <c r="A116" s="63"/>
      <c r="B116" s="63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3"/>
      <c r="AA116" s="63"/>
      <c r="AB116" s="63"/>
      <c r="AC116" s="64"/>
      <c r="AD116" s="64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ht="15.75" customHeight="1">
      <c r="A117" s="63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3"/>
      <c r="AA117" s="63"/>
      <c r="AB117" s="63"/>
      <c r="AC117" s="64"/>
      <c r="AD117" s="64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ht="15.75" customHeight="1">
      <c r="A118" s="63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3"/>
      <c r="AA118" s="63"/>
      <c r="AB118" s="63"/>
      <c r="AC118" s="64"/>
      <c r="AD118" s="64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ht="15.75" customHeight="1">
      <c r="A119" s="63"/>
      <c r="B119" s="63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3"/>
      <c r="AA119" s="63"/>
      <c r="AB119" s="63"/>
      <c r="AC119" s="64"/>
      <c r="AD119" s="64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ht="15.75" customHeight="1">
      <c r="A120" s="63"/>
      <c r="B120" s="63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3"/>
      <c r="AA120" s="63"/>
      <c r="AB120" s="63"/>
      <c r="AC120" s="64"/>
      <c r="AD120" s="64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ht="15.75" customHeight="1">
      <c r="A121" s="63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3"/>
      <c r="AA121" s="63"/>
      <c r="AB121" s="63"/>
      <c r="AC121" s="64"/>
      <c r="AD121" s="64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ht="15.75" customHeight="1">
      <c r="A122" s="63"/>
      <c r="B122" s="63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3"/>
      <c r="AA122" s="63"/>
      <c r="AB122" s="63"/>
      <c r="AC122" s="64"/>
      <c r="AD122" s="64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ht="15.75" customHeight="1">
      <c r="A123" s="63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3"/>
      <c r="AA123" s="63"/>
      <c r="AB123" s="63"/>
      <c r="AC123" s="64"/>
      <c r="AD123" s="64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ht="15.75" customHeight="1">
      <c r="A124" s="63"/>
      <c r="B124" s="63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3"/>
      <c r="AA124" s="63"/>
      <c r="AB124" s="63"/>
      <c r="AC124" s="64"/>
      <c r="AD124" s="64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ht="15.75" customHeight="1">
      <c r="A125" s="63"/>
      <c r="B125" s="63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3"/>
      <c r="AA125" s="63"/>
      <c r="AB125" s="63"/>
      <c r="AC125" s="64"/>
      <c r="AD125" s="64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ht="15.75" customHeight="1">
      <c r="A126" s="63"/>
      <c r="B126" s="63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3"/>
      <c r="AA126" s="63"/>
      <c r="AB126" s="63"/>
      <c r="AC126" s="64"/>
      <c r="AD126" s="64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ht="15.75" customHeight="1">
      <c r="A127" s="63"/>
      <c r="B127" s="63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3"/>
      <c r="AA127" s="63"/>
      <c r="AB127" s="63"/>
      <c r="AC127" s="64"/>
      <c r="AD127" s="64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ht="15.75" customHeight="1">
      <c r="A128" s="63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3"/>
      <c r="AA128" s="63"/>
      <c r="AB128" s="63"/>
      <c r="AC128" s="64"/>
      <c r="AD128" s="64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ht="15.75" customHeight="1">
      <c r="A129" s="63"/>
      <c r="B129" s="63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3"/>
      <c r="AA129" s="63"/>
      <c r="AB129" s="63"/>
      <c r="AC129" s="64"/>
      <c r="AD129" s="64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ht="15.75" customHeight="1">
      <c r="A130" s="63"/>
      <c r="B130" s="63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3"/>
      <c r="AA130" s="63"/>
      <c r="AB130" s="63"/>
      <c r="AC130" s="64"/>
      <c r="AD130" s="64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ht="15.75" customHeight="1">
      <c r="A131" s="63"/>
      <c r="B131" s="63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3"/>
      <c r="AA131" s="63"/>
      <c r="AB131" s="63"/>
      <c r="AC131" s="64"/>
      <c r="AD131" s="64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ht="15.75" customHeight="1">
      <c r="A132" s="63"/>
      <c r="B132" s="63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3"/>
      <c r="AA132" s="63"/>
      <c r="AB132" s="63"/>
      <c r="AC132" s="64"/>
      <c r="AD132" s="64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ht="15.75" customHeight="1">
      <c r="A133" s="63"/>
      <c r="B133" s="63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3"/>
      <c r="AA133" s="63"/>
      <c r="AB133" s="63"/>
      <c r="AC133" s="64"/>
      <c r="AD133" s="64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ht="15.75" customHeight="1">
      <c r="A134" s="63"/>
      <c r="B134" s="63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3"/>
      <c r="AA134" s="63"/>
      <c r="AB134" s="63"/>
      <c r="AC134" s="64"/>
      <c r="AD134" s="64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ht="15.75" customHeight="1">
      <c r="A135" s="63"/>
      <c r="B135" s="63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3"/>
      <c r="AA135" s="63"/>
      <c r="AB135" s="63"/>
      <c r="AC135" s="64"/>
      <c r="AD135" s="64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ht="15.75" customHeight="1">
      <c r="A136" s="63"/>
      <c r="B136" s="63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3"/>
      <c r="AA136" s="63"/>
      <c r="AB136" s="63"/>
      <c r="AC136" s="64"/>
      <c r="AD136" s="64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ht="15.75" customHeight="1">
      <c r="A137" s="63"/>
      <c r="B137" s="63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3"/>
      <c r="AA137" s="63"/>
      <c r="AB137" s="63"/>
      <c r="AC137" s="64"/>
      <c r="AD137" s="64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ht="15.75" customHeight="1">
      <c r="A138" s="63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3"/>
      <c r="AA138" s="63"/>
      <c r="AB138" s="63"/>
      <c r="AC138" s="64"/>
      <c r="AD138" s="64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ht="15.75" customHeight="1">
      <c r="A139" s="63"/>
      <c r="B139" s="63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3"/>
      <c r="AA139" s="63"/>
      <c r="AB139" s="63"/>
      <c r="AC139" s="64"/>
      <c r="AD139" s="64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 ht="15.75" customHeight="1">
      <c r="A140" s="63"/>
      <c r="B140" s="63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3"/>
      <c r="AA140" s="63"/>
      <c r="AB140" s="63"/>
      <c r="AC140" s="64"/>
      <c r="AD140" s="64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 ht="15.75" customHeight="1">
      <c r="A141" s="63"/>
      <c r="B141" s="63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3"/>
      <c r="AA141" s="63"/>
      <c r="AB141" s="63"/>
      <c r="AC141" s="64"/>
      <c r="AD141" s="64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 ht="15.75" customHeight="1">
      <c r="A142" s="63"/>
      <c r="B142" s="63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3"/>
      <c r="AA142" s="63"/>
      <c r="AB142" s="63"/>
      <c r="AC142" s="64"/>
      <c r="AD142" s="64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ht="15.75" customHeight="1">
      <c r="A143" s="63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3"/>
      <c r="AA143" s="63"/>
      <c r="AB143" s="63"/>
      <c r="AC143" s="64"/>
      <c r="AD143" s="64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ht="15.75" customHeight="1">
      <c r="A144" s="63"/>
      <c r="B144" s="63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3"/>
      <c r="AA144" s="63"/>
      <c r="AB144" s="63"/>
      <c r="AC144" s="64"/>
      <c r="AD144" s="64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 ht="15.75" customHeight="1">
      <c r="A145" s="63"/>
      <c r="B145" s="63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3"/>
      <c r="AA145" s="63"/>
      <c r="AB145" s="63"/>
      <c r="AC145" s="64"/>
      <c r="AD145" s="64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 ht="15.75" customHeight="1">
      <c r="A146" s="63"/>
      <c r="B146" s="63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3"/>
      <c r="AA146" s="63"/>
      <c r="AB146" s="63"/>
      <c r="AC146" s="64"/>
      <c r="AD146" s="64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 ht="15.75" customHeight="1">
      <c r="A147" s="63"/>
      <c r="B147" s="63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3"/>
      <c r="AA147" s="63"/>
      <c r="AB147" s="63"/>
      <c r="AC147" s="64"/>
      <c r="AD147" s="64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 ht="15.75" customHeight="1">
      <c r="A148" s="63"/>
      <c r="B148" s="63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3"/>
      <c r="AA148" s="63"/>
      <c r="AB148" s="63"/>
      <c r="AC148" s="64"/>
      <c r="AD148" s="64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ht="15.75" customHeight="1">
      <c r="A149" s="63"/>
      <c r="B149" s="63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3"/>
      <c r="AA149" s="63"/>
      <c r="AB149" s="63"/>
      <c r="AC149" s="64"/>
      <c r="AD149" s="64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ht="15.75" customHeight="1">
      <c r="A150" s="63"/>
      <c r="B150" s="63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3"/>
      <c r="AA150" s="63"/>
      <c r="AB150" s="63"/>
      <c r="AC150" s="64"/>
      <c r="AD150" s="64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ht="15.75" customHeight="1">
      <c r="A151" s="63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3"/>
      <c r="AA151" s="63"/>
      <c r="AB151" s="63"/>
      <c r="AC151" s="64"/>
      <c r="AD151" s="64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ht="15.75" customHeight="1">
      <c r="A152" s="63"/>
      <c r="B152" s="63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3"/>
      <c r="AA152" s="63"/>
      <c r="AB152" s="63"/>
      <c r="AC152" s="64"/>
      <c r="AD152" s="64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ht="15.75" customHeight="1">
      <c r="A153" s="63"/>
      <c r="B153" s="63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3"/>
      <c r="AA153" s="63"/>
      <c r="AB153" s="63"/>
      <c r="AC153" s="64"/>
      <c r="AD153" s="64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ht="15.75" customHeight="1">
      <c r="A154" s="63"/>
      <c r="B154" s="63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3"/>
      <c r="AA154" s="63"/>
      <c r="AB154" s="63"/>
      <c r="AC154" s="64"/>
      <c r="AD154" s="64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ht="15.75" customHeight="1">
      <c r="A155" s="63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3"/>
      <c r="AA155" s="63"/>
      <c r="AB155" s="63"/>
      <c r="AC155" s="64"/>
      <c r="AD155" s="64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ht="15.75" customHeight="1">
      <c r="A156" s="63"/>
      <c r="B156" s="63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3"/>
      <c r="AA156" s="63"/>
      <c r="AB156" s="63"/>
      <c r="AC156" s="64"/>
      <c r="AD156" s="64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 ht="15.75" customHeight="1">
      <c r="A157" s="63"/>
      <c r="B157" s="63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3"/>
      <c r="AA157" s="63"/>
      <c r="AB157" s="63"/>
      <c r="AC157" s="64"/>
      <c r="AD157" s="64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 ht="15.75" customHeight="1">
      <c r="A158" s="63"/>
      <c r="B158" s="63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3"/>
      <c r="AA158" s="63"/>
      <c r="AB158" s="63"/>
      <c r="AC158" s="64"/>
      <c r="AD158" s="64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</row>
    <row r="159" ht="15.75" customHeight="1">
      <c r="A159" s="63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3"/>
      <c r="AA159" s="63"/>
      <c r="AB159" s="63"/>
      <c r="AC159" s="64"/>
      <c r="AD159" s="64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</row>
    <row r="160" ht="15.75" customHeight="1">
      <c r="A160" s="63"/>
      <c r="B160" s="63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3"/>
      <c r="AA160" s="63"/>
      <c r="AB160" s="63"/>
      <c r="AC160" s="64"/>
      <c r="AD160" s="64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</row>
    <row r="161" ht="15.75" customHeight="1">
      <c r="A161" s="63"/>
      <c r="B161" s="63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3"/>
      <c r="AA161" s="63"/>
      <c r="AB161" s="63"/>
      <c r="AC161" s="64"/>
      <c r="AD161" s="64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</row>
    <row r="162" ht="15.75" customHeight="1">
      <c r="A162" s="63"/>
      <c r="B162" s="63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3"/>
      <c r="AA162" s="63"/>
      <c r="AB162" s="63"/>
      <c r="AC162" s="64"/>
      <c r="AD162" s="64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</row>
    <row r="163" ht="15.75" customHeight="1">
      <c r="A163" s="63"/>
      <c r="B163" s="63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3"/>
      <c r="AA163" s="63"/>
      <c r="AB163" s="63"/>
      <c r="AC163" s="64"/>
      <c r="AD163" s="64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</row>
    <row r="164" ht="15.75" customHeight="1">
      <c r="A164" s="63"/>
      <c r="B164" s="63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3"/>
      <c r="AA164" s="63"/>
      <c r="AB164" s="63"/>
      <c r="AC164" s="64"/>
      <c r="AD164" s="64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</row>
    <row r="165" ht="15.75" customHeight="1">
      <c r="A165" s="63"/>
      <c r="B165" s="63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3"/>
      <c r="AA165" s="63"/>
      <c r="AB165" s="63"/>
      <c r="AC165" s="64"/>
      <c r="AD165" s="64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</row>
    <row r="166" ht="15.75" customHeight="1">
      <c r="A166" s="63"/>
      <c r="B166" s="63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3"/>
      <c r="AA166" s="63"/>
      <c r="AB166" s="63"/>
      <c r="AC166" s="64"/>
      <c r="AD166" s="64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</row>
    <row r="167" ht="15.75" customHeight="1">
      <c r="A167" s="63"/>
      <c r="B167" s="63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3"/>
      <c r="AA167" s="63"/>
      <c r="AB167" s="63"/>
      <c r="AC167" s="64"/>
      <c r="AD167" s="64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</row>
    <row r="168" ht="15.75" customHeight="1">
      <c r="A168" s="63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3"/>
      <c r="AA168" s="63"/>
      <c r="AB168" s="63"/>
      <c r="AC168" s="64"/>
      <c r="AD168" s="64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</row>
    <row r="169" ht="15.75" customHeight="1">
      <c r="A169" s="63"/>
      <c r="B169" s="63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3"/>
      <c r="AA169" s="63"/>
      <c r="AB169" s="63"/>
      <c r="AC169" s="64"/>
      <c r="AD169" s="64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 ht="15.75" customHeight="1">
      <c r="A170" s="63"/>
      <c r="B170" s="63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3"/>
      <c r="AA170" s="63"/>
      <c r="AB170" s="63"/>
      <c r="AC170" s="64"/>
      <c r="AD170" s="64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 ht="15.75" customHeight="1">
      <c r="A171" s="63"/>
      <c r="B171" s="63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3"/>
      <c r="AA171" s="63"/>
      <c r="AB171" s="63"/>
      <c r="AC171" s="64"/>
      <c r="AD171" s="64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</row>
    <row r="172" ht="15.75" customHeight="1">
      <c r="A172" s="63"/>
      <c r="B172" s="63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3"/>
      <c r="AA172" s="63"/>
      <c r="AB172" s="63"/>
      <c r="AC172" s="64"/>
      <c r="AD172" s="64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 ht="15.75" customHeight="1">
      <c r="A173" s="63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3"/>
      <c r="AA173" s="63"/>
      <c r="AB173" s="63"/>
      <c r="AC173" s="64"/>
      <c r="AD173" s="64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</row>
    <row r="174" ht="15.75" customHeight="1">
      <c r="A174" s="63"/>
      <c r="B174" s="63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3"/>
      <c r="AA174" s="63"/>
      <c r="AB174" s="63"/>
      <c r="AC174" s="64"/>
      <c r="AD174" s="64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 ht="15.75" customHeight="1">
      <c r="A175" s="63"/>
      <c r="B175" s="63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3"/>
      <c r="AA175" s="63"/>
      <c r="AB175" s="63"/>
      <c r="AC175" s="64"/>
      <c r="AD175" s="64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 ht="15.75" customHeight="1">
      <c r="A176" s="63"/>
      <c r="B176" s="63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3"/>
      <c r="AA176" s="63"/>
      <c r="AB176" s="63"/>
      <c r="AC176" s="64"/>
      <c r="AD176" s="64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</row>
    <row r="177" ht="15.75" customHeight="1">
      <c r="A177" s="63"/>
      <c r="B177" s="63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3"/>
      <c r="AA177" s="63"/>
      <c r="AB177" s="63"/>
      <c r="AC177" s="64"/>
      <c r="AD177" s="64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</row>
    <row r="178" ht="15.75" customHeight="1">
      <c r="A178" s="63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3"/>
      <c r="AA178" s="63"/>
      <c r="AB178" s="63"/>
      <c r="AC178" s="64"/>
      <c r="AD178" s="64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</row>
    <row r="179" ht="15.75" customHeight="1">
      <c r="A179" s="63"/>
      <c r="B179" s="63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3"/>
      <c r="AA179" s="63"/>
      <c r="AB179" s="63"/>
      <c r="AC179" s="64"/>
      <c r="AD179" s="64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</row>
    <row r="180" ht="15.75" customHeight="1">
      <c r="A180" s="63"/>
      <c r="B180" s="63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3"/>
      <c r="AA180" s="63"/>
      <c r="AB180" s="63"/>
      <c r="AC180" s="64"/>
      <c r="AD180" s="64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</row>
    <row r="181" ht="15.75" customHeight="1">
      <c r="A181" s="63"/>
      <c r="B181" s="63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3"/>
      <c r="AA181" s="63"/>
      <c r="AB181" s="63"/>
      <c r="AC181" s="64"/>
      <c r="AD181" s="64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 ht="15.75" customHeight="1">
      <c r="A182" s="63"/>
      <c r="B182" s="63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3"/>
      <c r="AA182" s="63"/>
      <c r="AB182" s="63"/>
      <c r="AC182" s="64"/>
      <c r="AD182" s="64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 ht="15.75" customHeight="1">
      <c r="A183" s="63"/>
      <c r="B183" s="63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3"/>
      <c r="AA183" s="63"/>
      <c r="AB183" s="63"/>
      <c r="AC183" s="64"/>
      <c r="AD183" s="64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 ht="15.75" customHeight="1">
      <c r="A184" s="63"/>
      <c r="B184" s="63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3"/>
      <c r="AA184" s="63"/>
      <c r="AB184" s="63"/>
      <c r="AC184" s="64"/>
      <c r="AD184" s="64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 ht="15.75" customHeight="1">
      <c r="A185" s="63"/>
      <c r="B185" s="63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3"/>
      <c r="AA185" s="63"/>
      <c r="AB185" s="63"/>
      <c r="AC185" s="64"/>
      <c r="AD185" s="64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 ht="15.75" customHeight="1">
      <c r="A186" s="63"/>
      <c r="B186" s="63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3"/>
      <c r="AA186" s="63"/>
      <c r="AB186" s="63"/>
      <c r="AC186" s="64"/>
      <c r="AD186" s="64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 ht="15.75" customHeight="1">
      <c r="A187" s="63"/>
      <c r="B187" s="63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3"/>
      <c r="AA187" s="63"/>
      <c r="AB187" s="63"/>
      <c r="AC187" s="64"/>
      <c r="AD187" s="64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</row>
    <row r="188" ht="15.75" customHeight="1">
      <c r="A188" s="63"/>
      <c r="B188" s="63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3"/>
      <c r="AA188" s="63"/>
      <c r="AB188" s="63"/>
      <c r="AC188" s="64"/>
      <c r="AD188" s="64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</row>
    <row r="189" ht="15.75" customHeight="1">
      <c r="A189" s="63"/>
      <c r="B189" s="63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3"/>
      <c r="AA189" s="63"/>
      <c r="AB189" s="63"/>
      <c r="AC189" s="64"/>
      <c r="AD189" s="64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</row>
    <row r="190" ht="15.75" customHeight="1">
      <c r="A190" s="63"/>
      <c r="B190" s="63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3"/>
      <c r="AA190" s="63"/>
      <c r="AB190" s="63"/>
      <c r="AC190" s="64"/>
      <c r="AD190" s="64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</row>
    <row r="191" ht="15.75" customHeight="1">
      <c r="A191" s="63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3"/>
      <c r="AA191" s="63"/>
      <c r="AB191" s="63"/>
      <c r="AC191" s="64"/>
      <c r="AD191" s="64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</row>
    <row r="192" ht="15.75" customHeight="1">
      <c r="A192" s="63"/>
      <c r="B192" s="63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3"/>
      <c r="AA192" s="63"/>
      <c r="AB192" s="63"/>
      <c r="AC192" s="64"/>
      <c r="AD192" s="64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</row>
    <row r="193" ht="15.75" customHeight="1">
      <c r="A193" s="63"/>
      <c r="B193" s="63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3"/>
      <c r="AA193" s="63"/>
      <c r="AB193" s="63"/>
      <c r="AC193" s="64"/>
      <c r="AD193" s="64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 ht="15.75" customHeight="1">
      <c r="A194" s="63"/>
      <c r="B194" s="63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3"/>
      <c r="AA194" s="63"/>
      <c r="AB194" s="63"/>
      <c r="AC194" s="64"/>
      <c r="AD194" s="64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</row>
    <row r="195" ht="15.75" customHeight="1">
      <c r="A195" s="63"/>
      <c r="B195" s="63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3"/>
      <c r="AA195" s="63"/>
      <c r="AB195" s="63"/>
      <c r="AC195" s="64"/>
      <c r="AD195" s="64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 ht="15.75" customHeight="1">
      <c r="A196" s="63"/>
      <c r="B196" s="63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3"/>
      <c r="AA196" s="63"/>
      <c r="AB196" s="63"/>
      <c r="AC196" s="64"/>
      <c r="AD196" s="64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</row>
    <row r="197" ht="15.75" customHeight="1">
      <c r="A197" s="63"/>
      <c r="B197" s="63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3"/>
      <c r="AA197" s="63"/>
      <c r="AB197" s="63"/>
      <c r="AC197" s="64"/>
      <c r="AD197" s="64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 ht="15.75" customHeight="1">
      <c r="A198" s="63"/>
      <c r="B198" s="63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3"/>
      <c r="AA198" s="63"/>
      <c r="AB198" s="63"/>
      <c r="AC198" s="64"/>
      <c r="AD198" s="64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 ht="15.75" customHeight="1">
      <c r="A199" s="63"/>
      <c r="B199" s="63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3"/>
      <c r="AA199" s="63"/>
      <c r="AB199" s="63"/>
      <c r="AC199" s="64"/>
      <c r="AD199" s="64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</row>
    <row r="200" ht="15.75" customHeight="1">
      <c r="A200" s="63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3"/>
      <c r="AA200" s="63"/>
      <c r="AB200" s="63"/>
      <c r="AC200" s="64"/>
      <c r="AD200" s="64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</row>
    <row r="201" ht="15.75" customHeight="1">
      <c r="A201" s="63"/>
      <c r="B201" s="63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3"/>
      <c r="AA201" s="63"/>
      <c r="AB201" s="63"/>
      <c r="AC201" s="64"/>
      <c r="AD201" s="64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</row>
    <row r="202" ht="15.75" customHeight="1">
      <c r="A202" s="63"/>
      <c r="B202" s="63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3"/>
      <c r="AA202" s="63"/>
      <c r="AB202" s="63"/>
      <c r="AC202" s="64"/>
      <c r="AD202" s="64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</row>
    <row r="203" ht="15.75" customHeight="1">
      <c r="A203" s="63"/>
      <c r="B203" s="63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3"/>
      <c r="AA203" s="63"/>
      <c r="AB203" s="63"/>
      <c r="AC203" s="64"/>
      <c r="AD203" s="64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</row>
    <row r="204" ht="15.75" customHeight="1">
      <c r="A204" s="63"/>
      <c r="B204" s="63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3"/>
      <c r="AA204" s="63"/>
      <c r="AB204" s="63"/>
      <c r="AC204" s="64"/>
      <c r="AD204" s="64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</row>
    <row r="205" ht="15.75" customHeight="1">
      <c r="A205" s="63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3"/>
      <c r="AA205" s="63"/>
      <c r="AB205" s="63"/>
      <c r="AC205" s="64"/>
      <c r="AD205" s="64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</row>
    <row r="206" ht="15.75" customHeight="1">
      <c r="A206" s="63"/>
      <c r="B206" s="63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3"/>
      <c r="AA206" s="63"/>
      <c r="AB206" s="63"/>
      <c r="AC206" s="64"/>
      <c r="AD206" s="64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</row>
    <row r="207" ht="15.75" customHeight="1">
      <c r="A207" s="63"/>
      <c r="B207" s="63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3"/>
      <c r="AA207" s="63"/>
      <c r="AB207" s="63"/>
      <c r="AC207" s="64"/>
      <c r="AD207" s="64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</row>
    <row r="208" ht="15.75" customHeight="1">
      <c r="A208" s="63"/>
      <c r="B208" s="63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3"/>
      <c r="AA208" s="63"/>
      <c r="AB208" s="63"/>
      <c r="AC208" s="64"/>
      <c r="AD208" s="64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</row>
    <row r="209" ht="15.75" customHeight="1">
      <c r="A209" s="63"/>
      <c r="B209" s="63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3"/>
      <c r="AA209" s="63"/>
      <c r="AB209" s="63"/>
      <c r="AC209" s="64"/>
      <c r="AD209" s="64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</row>
    <row r="210" ht="15.75" customHeight="1">
      <c r="A210" s="63"/>
      <c r="B210" s="63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3"/>
      <c r="AA210" s="63"/>
      <c r="AB210" s="63"/>
      <c r="AC210" s="64"/>
      <c r="AD210" s="64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</row>
    <row r="211" ht="15.75" customHeight="1">
      <c r="A211" s="63"/>
      <c r="B211" s="63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3"/>
      <c r="AA211" s="63"/>
      <c r="AB211" s="63"/>
      <c r="AC211" s="64"/>
      <c r="AD211" s="64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</row>
    <row r="212" ht="15.75" customHeight="1">
      <c r="A212" s="63"/>
      <c r="B212" s="63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3"/>
      <c r="AA212" s="63"/>
      <c r="AB212" s="63"/>
      <c r="AC212" s="64"/>
      <c r="AD212" s="64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</row>
    <row r="213" ht="15.75" customHeight="1">
      <c r="A213" s="63"/>
      <c r="B213" s="63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3"/>
      <c r="AA213" s="63"/>
      <c r="AB213" s="63"/>
      <c r="AC213" s="64"/>
      <c r="AD213" s="64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</row>
    <row r="214" ht="15.75" customHeight="1">
      <c r="A214" s="63"/>
      <c r="B214" s="63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3"/>
      <c r="AA214" s="63"/>
      <c r="AB214" s="63"/>
      <c r="AC214" s="64"/>
      <c r="AD214" s="64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</row>
    <row r="215" ht="15.75" customHeight="1">
      <c r="A215" s="63"/>
      <c r="B215" s="63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3"/>
      <c r="AA215" s="63"/>
      <c r="AB215" s="63"/>
      <c r="AC215" s="64"/>
      <c r="AD215" s="64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</row>
    <row r="216" ht="15.75" customHeight="1">
      <c r="A216" s="63"/>
      <c r="B216" s="63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3"/>
      <c r="AA216" s="63"/>
      <c r="AB216" s="63"/>
      <c r="AC216" s="64"/>
      <c r="AD216" s="64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</row>
    <row r="217" ht="15.75" customHeight="1">
      <c r="A217" s="63"/>
      <c r="B217" s="63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3"/>
      <c r="AA217" s="63"/>
      <c r="AB217" s="63"/>
      <c r="AC217" s="64"/>
      <c r="AD217" s="64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</row>
    <row r="218" ht="15.75" customHeight="1">
      <c r="A218" s="63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3"/>
      <c r="AA218" s="63"/>
      <c r="AB218" s="63"/>
      <c r="AC218" s="64"/>
      <c r="AD218" s="64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</row>
    <row r="219" ht="15.75" customHeight="1">
      <c r="A219" s="63"/>
      <c r="B219" s="63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3"/>
      <c r="AA219" s="63"/>
      <c r="AB219" s="63"/>
      <c r="AC219" s="64"/>
      <c r="AD219" s="64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</row>
    <row r="220" ht="15.75" customHeight="1">
      <c r="A220" s="63"/>
      <c r="B220" s="63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3"/>
      <c r="AA220" s="63"/>
      <c r="AB220" s="63"/>
      <c r="AC220" s="64"/>
      <c r="AD220" s="64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</row>
    <row r="221" ht="15.75" customHeight="1">
      <c r="A221" s="63"/>
      <c r="B221" s="63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3"/>
      <c r="AA221" s="63"/>
      <c r="AB221" s="63"/>
      <c r="AC221" s="64"/>
      <c r="AD221" s="64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</row>
    <row r="222" ht="15.75" customHeight="1">
      <c r="A222" s="63"/>
      <c r="B222" s="63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3"/>
      <c r="AA222" s="63"/>
      <c r="AB222" s="63"/>
      <c r="AC222" s="64"/>
      <c r="AD222" s="64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</row>
    <row r="223" ht="15.75" customHeight="1">
      <c r="A223" s="63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3"/>
      <c r="AA223" s="63"/>
      <c r="AB223" s="63"/>
      <c r="AC223" s="64"/>
      <c r="AD223" s="64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</row>
    <row r="224" ht="15.75" customHeight="1">
      <c r="A224" s="63"/>
      <c r="B224" s="63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3"/>
      <c r="AA224" s="63"/>
      <c r="AB224" s="63"/>
      <c r="AC224" s="64"/>
      <c r="AD224" s="64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</row>
    <row r="225" ht="15.75" customHeight="1">
      <c r="A225" s="63"/>
      <c r="B225" s="63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3"/>
      <c r="AA225" s="63"/>
      <c r="AB225" s="63"/>
      <c r="AC225" s="64"/>
      <c r="AD225" s="64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</row>
    <row r="226" ht="15.75" customHeight="1">
      <c r="A226" s="63"/>
      <c r="B226" s="63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3"/>
      <c r="AA226" s="63"/>
      <c r="AB226" s="63"/>
      <c r="AC226" s="64"/>
      <c r="AD226" s="64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</row>
    <row r="227" ht="15.75" customHeight="1">
      <c r="A227" s="63"/>
      <c r="B227" s="63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3"/>
      <c r="AA227" s="63"/>
      <c r="AB227" s="63"/>
      <c r="AC227" s="64"/>
      <c r="AD227" s="64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</row>
    <row r="228" ht="15.75" customHeight="1">
      <c r="A228" s="63"/>
      <c r="B228" s="63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3"/>
      <c r="AA228" s="63"/>
      <c r="AB228" s="63"/>
      <c r="AC228" s="64"/>
      <c r="AD228" s="64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</row>
    <row r="229" ht="15.75" customHeight="1">
      <c r="A229" s="63"/>
      <c r="B229" s="63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3"/>
      <c r="AA229" s="63"/>
      <c r="AB229" s="63"/>
      <c r="AC229" s="64"/>
      <c r="AD229" s="64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</row>
    <row r="230" ht="15.75" customHeight="1">
      <c r="A230" s="63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3"/>
      <c r="AA230" s="63"/>
      <c r="AB230" s="63"/>
      <c r="AC230" s="64"/>
      <c r="AD230" s="64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</row>
    <row r="231" ht="15.75" customHeight="1">
      <c r="A231" s="63"/>
      <c r="B231" s="63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3"/>
      <c r="AA231" s="63"/>
      <c r="AB231" s="63"/>
      <c r="AC231" s="64"/>
      <c r="AD231" s="64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</row>
    <row r="232" ht="15.75" customHeight="1">
      <c r="A232" s="63"/>
      <c r="B232" s="63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3"/>
      <c r="AA232" s="63"/>
      <c r="AB232" s="63"/>
      <c r="AC232" s="64"/>
      <c r="AD232" s="64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</row>
    <row r="233" ht="15.75" customHeight="1">
      <c r="A233" s="63"/>
      <c r="B233" s="63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3"/>
      <c r="AA233" s="63"/>
      <c r="AB233" s="63"/>
      <c r="AC233" s="64"/>
      <c r="AD233" s="64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</row>
    <row r="234" ht="15.75" customHeight="1">
      <c r="A234" s="63"/>
      <c r="B234" s="63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3"/>
      <c r="AA234" s="63"/>
      <c r="AB234" s="63"/>
      <c r="AC234" s="64"/>
      <c r="AD234" s="64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</row>
    <row r="235" ht="15.75" customHeight="1">
      <c r="A235" s="63"/>
      <c r="B235" s="63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3"/>
      <c r="AA235" s="63"/>
      <c r="AB235" s="63"/>
      <c r="AC235" s="64"/>
      <c r="AD235" s="64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</row>
    <row r="236" ht="15.75" customHeight="1">
      <c r="A236" s="63"/>
      <c r="B236" s="63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3"/>
      <c r="AA236" s="63"/>
      <c r="AB236" s="63"/>
      <c r="AC236" s="64"/>
      <c r="AD236" s="64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</row>
    <row r="237" ht="15.75" customHeight="1">
      <c r="A237" s="63"/>
      <c r="B237" s="63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3"/>
      <c r="AA237" s="63"/>
      <c r="AB237" s="63"/>
      <c r="AC237" s="64"/>
      <c r="AD237" s="64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</row>
    <row r="238" ht="15.75" customHeight="1">
      <c r="A238" s="63"/>
      <c r="B238" s="63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3"/>
      <c r="AA238" s="63"/>
      <c r="AB238" s="63"/>
      <c r="AC238" s="64"/>
      <c r="AD238" s="64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</row>
    <row r="239" ht="15.75" customHeight="1">
      <c r="A239" s="63"/>
      <c r="B239" s="63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3"/>
      <c r="AA239" s="63"/>
      <c r="AB239" s="63"/>
      <c r="AC239" s="64"/>
      <c r="AD239" s="64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</row>
    <row r="240" ht="15.75" customHeight="1">
      <c r="A240" s="63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3"/>
      <c r="AA240" s="63"/>
      <c r="AB240" s="63"/>
      <c r="AC240" s="64"/>
      <c r="AD240" s="64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</row>
    <row r="241" ht="15.75" customHeight="1">
      <c r="A241" s="63"/>
      <c r="B241" s="63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3"/>
      <c r="AA241" s="63"/>
      <c r="AB241" s="63"/>
      <c r="AC241" s="64"/>
      <c r="AD241" s="64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</row>
    <row r="242" ht="15.75" customHeight="1">
      <c r="A242" s="63"/>
      <c r="B242" s="63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3"/>
      <c r="AA242" s="63"/>
      <c r="AB242" s="63"/>
      <c r="AC242" s="64"/>
      <c r="AD242" s="64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</row>
    <row r="243" ht="15.75" customHeight="1">
      <c r="A243" s="63"/>
      <c r="B243" s="63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3"/>
      <c r="AA243" s="63"/>
      <c r="AB243" s="63"/>
      <c r="AC243" s="64"/>
      <c r="AD243" s="64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 ht="15.75" customHeight="1">
      <c r="A244" s="63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3"/>
      <c r="AA244" s="63"/>
      <c r="AB244" s="63"/>
      <c r="AC244" s="64"/>
      <c r="AD244" s="64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 ht="15.75" customHeight="1">
      <c r="A245" s="63"/>
      <c r="B245" s="63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3"/>
      <c r="AA245" s="63"/>
      <c r="AB245" s="63"/>
      <c r="AC245" s="64"/>
      <c r="AD245" s="64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 ht="15.75" customHeight="1">
      <c r="A246" s="63"/>
      <c r="B246" s="63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3"/>
      <c r="AA246" s="63"/>
      <c r="AB246" s="63"/>
      <c r="AC246" s="64"/>
      <c r="AD246" s="64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 ht="15.75" customHeight="1">
      <c r="A247" s="63"/>
      <c r="B247" s="63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3"/>
      <c r="AA247" s="63"/>
      <c r="AB247" s="63"/>
      <c r="AC247" s="64"/>
      <c r="AD247" s="64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 ht="15.75" customHeight="1">
      <c r="A248" s="63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3"/>
      <c r="AA248" s="63"/>
      <c r="AB248" s="63"/>
      <c r="AC248" s="64"/>
      <c r="AD248" s="64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 ht="15.75" customHeight="1">
      <c r="A249" s="63"/>
      <c r="B249" s="63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3"/>
      <c r="AA249" s="63"/>
      <c r="AB249" s="63"/>
      <c r="AC249" s="64"/>
      <c r="AD249" s="64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 ht="15.75" customHeight="1">
      <c r="A250" s="63"/>
      <c r="B250" s="63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3"/>
      <c r="AA250" s="63"/>
      <c r="AB250" s="63"/>
      <c r="AC250" s="64"/>
      <c r="AD250" s="64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 ht="15.75" customHeight="1">
      <c r="A251" s="63"/>
      <c r="B251" s="63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3"/>
      <c r="AA251" s="63"/>
      <c r="AB251" s="63"/>
      <c r="AC251" s="64"/>
      <c r="AD251" s="64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 ht="15.75" customHeight="1">
      <c r="A252" s="63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3"/>
      <c r="AA252" s="63"/>
      <c r="AB252" s="63"/>
      <c r="AC252" s="64"/>
      <c r="AD252" s="64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 ht="15.75" customHeight="1">
      <c r="A253" s="63"/>
      <c r="B253" s="63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3"/>
      <c r="AA253" s="63"/>
      <c r="AB253" s="63"/>
      <c r="AC253" s="64"/>
      <c r="AD253" s="64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 ht="15.75" customHeight="1">
      <c r="A254" s="63"/>
      <c r="B254" s="63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3"/>
      <c r="AA254" s="63"/>
      <c r="AB254" s="63"/>
      <c r="AC254" s="64"/>
      <c r="AD254" s="64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 ht="15.75" customHeight="1">
      <c r="A255" s="63"/>
      <c r="B255" s="63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3"/>
      <c r="AA255" s="63"/>
      <c r="AB255" s="63"/>
      <c r="AC255" s="64"/>
      <c r="AD255" s="64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 ht="15.75" customHeight="1">
      <c r="A256" s="63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3"/>
      <c r="AA256" s="63"/>
      <c r="AB256" s="63"/>
      <c r="AC256" s="64"/>
      <c r="AD256" s="64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 ht="15.75" customHeight="1">
      <c r="A257" s="63"/>
      <c r="B257" s="63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3"/>
      <c r="AA257" s="63"/>
      <c r="AB257" s="63"/>
      <c r="AC257" s="64"/>
      <c r="AD257" s="64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 ht="15.75" customHeight="1">
      <c r="A258" s="63"/>
      <c r="B258" s="63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3"/>
      <c r="AA258" s="63"/>
      <c r="AB258" s="63"/>
      <c r="AC258" s="64"/>
      <c r="AD258" s="64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 ht="15.75" customHeight="1">
      <c r="A259" s="63"/>
      <c r="B259" s="63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3"/>
      <c r="AA259" s="63"/>
      <c r="AB259" s="63"/>
      <c r="AC259" s="64"/>
      <c r="AD259" s="64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 ht="15.75" customHeight="1">
      <c r="A260" s="63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3"/>
      <c r="AA260" s="63"/>
      <c r="AB260" s="63"/>
      <c r="AC260" s="64"/>
      <c r="AD260" s="64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 ht="15.75" customHeight="1">
      <c r="A261" s="63"/>
      <c r="B261" s="63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3"/>
      <c r="AA261" s="63"/>
      <c r="AB261" s="63"/>
      <c r="AC261" s="64"/>
      <c r="AD261" s="64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 ht="15.75" customHeight="1">
      <c r="A262" s="63"/>
      <c r="B262" s="63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3"/>
      <c r="AA262" s="63"/>
      <c r="AB262" s="63"/>
      <c r="AC262" s="64"/>
      <c r="AD262" s="64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 ht="15.75" customHeight="1">
      <c r="A263" s="63"/>
      <c r="B263" s="63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3"/>
      <c r="AA263" s="63"/>
      <c r="AB263" s="63"/>
      <c r="AC263" s="64"/>
      <c r="AD263" s="64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 ht="15.75" customHeight="1">
      <c r="A264" s="63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3"/>
      <c r="AA264" s="63"/>
      <c r="AB264" s="63"/>
      <c r="AC264" s="64"/>
      <c r="AD264" s="64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 ht="15.75" customHeight="1">
      <c r="A265" s="63"/>
      <c r="B265" s="63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3"/>
      <c r="AA265" s="63"/>
      <c r="AB265" s="63"/>
      <c r="AC265" s="64"/>
      <c r="AD265" s="64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 ht="15.75" customHeight="1">
      <c r="A266" s="63"/>
      <c r="B266" s="63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3"/>
      <c r="AA266" s="63"/>
      <c r="AB266" s="63"/>
      <c r="AC266" s="64"/>
      <c r="AD266" s="64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 ht="15.75" customHeight="1">
      <c r="A267" s="63"/>
      <c r="B267" s="63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3"/>
      <c r="AA267" s="63"/>
      <c r="AB267" s="63"/>
      <c r="AC267" s="64"/>
      <c r="AD267" s="64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B1"/>
    <mergeCell ref="AC1:AE1"/>
    <mergeCell ref="A2:B2"/>
    <mergeCell ref="A3:B3"/>
    <mergeCell ref="A4:B4"/>
    <mergeCell ref="A5:B5"/>
    <mergeCell ref="A6:B6"/>
    <mergeCell ref="A14:B14"/>
    <mergeCell ref="A15:B15"/>
    <mergeCell ref="A16:B16"/>
    <mergeCell ref="A17:B17"/>
    <mergeCell ref="A18:B18"/>
    <mergeCell ref="A19:AB19"/>
    <mergeCell ref="A20:AB20"/>
    <mergeCell ref="A21:AB21"/>
    <mergeCell ref="A7:B7"/>
    <mergeCell ref="A8:B8"/>
    <mergeCell ref="A9:B9"/>
    <mergeCell ref="A10:B10"/>
    <mergeCell ref="A11:B11"/>
    <mergeCell ref="A12:B12"/>
    <mergeCell ref="A13:B13"/>
    <mergeCell ref="B67:N72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43"/>
    <col customWidth="1" min="3" max="3" width="72.0"/>
    <col customWidth="1" min="4" max="6" width="8.71"/>
  </cols>
  <sheetData>
    <row r="1" ht="27.75" customHeight="1">
      <c r="A1" s="81" t="s">
        <v>27</v>
      </c>
      <c r="B1" s="82"/>
      <c r="C1" s="82"/>
    </row>
    <row r="2" ht="28.5" customHeight="1">
      <c r="A2" s="83" t="s">
        <v>28</v>
      </c>
      <c r="B2" s="84" t="s">
        <v>29</v>
      </c>
      <c r="C2" s="83" t="s">
        <v>30</v>
      </c>
    </row>
    <row r="3">
      <c r="A3" s="85">
        <v>1.0</v>
      </c>
      <c r="B3" s="86" t="s">
        <v>31</v>
      </c>
      <c r="C3" s="86"/>
    </row>
    <row r="4">
      <c r="A4" s="87">
        <v>2.0</v>
      </c>
      <c r="B4" s="88" t="s">
        <v>32</v>
      </c>
      <c r="C4" s="88" t="s">
        <v>33</v>
      </c>
    </row>
    <row r="5">
      <c r="A5" s="85">
        <v>3.0</v>
      </c>
      <c r="B5" s="86" t="s">
        <v>34</v>
      </c>
      <c r="C5" s="86" t="s">
        <v>35</v>
      </c>
    </row>
    <row r="6">
      <c r="A6" s="87">
        <v>4.0</v>
      </c>
      <c r="B6" s="88" t="s">
        <v>36</v>
      </c>
      <c r="C6" s="88"/>
    </row>
    <row r="7">
      <c r="A7" s="85">
        <v>5.0</v>
      </c>
      <c r="B7" s="86" t="s">
        <v>37</v>
      </c>
      <c r="C7" s="86"/>
    </row>
    <row r="8">
      <c r="A8" s="87">
        <v>6.0</v>
      </c>
      <c r="B8" s="88" t="s">
        <v>38</v>
      </c>
      <c r="C8" s="88"/>
    </row>
    <row r="9">
      <c r="A9" s="85">
        <v>7.0</v>
      </c>
      <c r="B9" s="86" t="s">
        <v>39</v>
      </c>
      <c r="C9" s="86" t="s">
        <v>33</v>
      </c>
    </row>
    <row r="10">
      <c r="A10" s="87">
        <v>8.0</v>
      </c>
      <c r="B10" s="88" t="s">
        <v>40</v>
      </c>
      <c r="C10" s="88"/>
    </row>
    <row r="11">
      <c r="A11" s="85">
        <v>9.0</v>
      </c>
      <c r="B11" s="86" t="s">
        <v>41</v>
      </c>
      <c r="C11" s="86"/>
    </row>
    <row r="12">
      <c r="A12" s="87">
        <v>10.0</v>
      </c>
      <c r="B12" s="88" t="s">
        <v>42</v>
      </c>
      <c r="C12" s="88"/>
    </row>
    <row r="13">
      <c r="A13" s="85">
        <v>11.0</v>
      </c>
      <c r="B13" s="86" t="s">
        <v>43</v>
      </c>
      <c r="C13" s="86" t="s">
        <v>33</v>
      </c>
    </row>
    <row r="14">
      <c r="A14" s="87">
        <v>12.0</v>
      </c>
      <c r="B14" s="88" t="s">
        <v>44</v>
      </c>
      <c r="C14" s="88"/>
    </row>
    <row r="15">
      <c r="A15" s="85">
        <v>13.0</v>
      </c>
      <c r="B15" s="86" t="s">
        <v>45</v>
      </c>
      <c r="C15" s="86"/>
    </row>
    <row r="16">
      <c r="A16" s="87">
        <v>14.0</v>
      </c>
      <c r="B16" s="88" t="s">
        <v>46</v>
      </c>
      <c r="C16" s="88"/>
    </row>
    <row r="17">
      <c r="A17" s="85">
        <v>15.0</v>
      </c>
      <c r="B17" s="86" t="s">
        <v>47</v>
      </c>
      <c r="C17" s="86"/>
    </row>
    <row r="18">
      <c r="A18" s="87">
        <v>16.0</v>
      </c>
      <c r="B18" s="88" t="s">
        <v>48</v>
      </c>
      <c r="C18" s="88"/>
    </row>
    <row r="19">
      <c r="A19" s="85">
        <v>17.0</v>
      </c>
      <c r="B19" s="86" t="s">
        <v>49</v>
      </c>
      <c r="C19" s="86"/>
    </row>
    <row r="20">
      <c r="A20" s="87">
        <v>18.0</v>
      </c>
      <c r="B20" s="88" t="s">
        <v>50</v>
      </c>
      <c r="C20" s="88" t="s">
        <v>33</v>
      </c>
    </row>
    <row r="21" ht="15.75" customHeight="1">
      <c r="A21" s="85">
        <v>19.0</v>
      </c>
      <c r="B21" s="86" t="s">
        <v>51</v>
      </c>
      <c r="C21" s="86"/>
    </row>
    <row r="22" ht="15.75" customHeight="1">
      <c r="A22" s="87">
        <v>20.0</v>
      </c>
      <c r="B22" s="88" t="s">
        <v>52</v>
      </c>
      <c r="C22" s="88"/>
    </row>
    <row r="23" ht="15.75" customHeight="1">
      <c r="A23" s="85">
        <v>21.0</v>
      </c>
      <c r="B23" s="86" t="s">
        <v>53</v>
      </c>
      <c r="C23" s="86"/>
    </row>
    <row r="24" ht="15.75" customHeight="1">
      <c r="A24" s="87">
        <v>22.0</v>
      </c>
      <c r="B24" s="88" t="s">
        <v>54</v>
      </c>
      <c r="C24" s="88"/>
    </row>
    <row r="25" ht="15.75" customHeight="1">
      <c r="A25" s="85">
        <v>23.0</v>
      </c>
      <c r="B25" s="86" t="s">
        <v>55</v>
      </c>
      <c r="C25" s="86"/>
    </row>
    <row r="26" ht="15.75" customHeight="1">
      <c r="A26" s="87">
        <v>24.0</v>
      </c>
      <c r="B26" s="88" t="s">
        <v>56</v>
      </c>
      <c r="C26" s="88"/>
    </row>
    <row r="27" ht="15.75" customHeight="1">
      <c r="A27" s="85">
        <v>25.0</v>
      </c>
      <c r="B27" s="86" t="s">
        <v>57</v>
      </c>
      <c r="C27" s="86"/>
    </row>
    <row r="28" ht="15.75" customHeight="1">
      <c r="A28" s="87">
        <v>26.0</v>
      </c>
      <c r="B28" s="88" t="s">
        <v>58</v>
      </c>
      <c r="C28" s="88"/>
    </row>
    <row r="29" ht="15.75" customHeight="1">
      <c r="A29" s="85">
        <v>27.0</v>
      </c>
      <c r="B29" s="86" t="s">
        <v>59</v>
      </c>
      <c r="C29" s="86"/>
    </row>
    <row r="30" ht="15.75" customHeight="1">
      <c r="A30" s="87">
        <v>28.0</v>
      </c>
      <c r="B30" s="88" t="s">
        <v>60</v>
      </c>
      <c r="C30" s="88"/>
    </row>
    <row r="31" ht="15.75" customHeight="1">
      <c r="A31" s="85">
        <v>29.0</v>
      </c>
      <c r="B31" s="86" t="s">
        <v>61</v>
      </c>
      <c r="C31" s="86"/>
    </row>
    <row r="32" ht="15.75" customHeight="1">
      <c r="A32" s="87">
        <v>30.0</v>
      </c>
      <c r="B32" s="88" t="s">
        <v>62</v>
      </c>
      <c r="C32" s="88" t="s">
        <v>63</v>
      </c>
    </row>
    <row r="33" ht="15.75" customHeight="1">
      <c r="A33" s="85">
        <v>31.0</v>
      </c>
      <c r="B33" s="86" t="s">
        <v>64</v>
      </c>
      <c r="C33" s="86"/>
    </row>
    <row r="34" ht="15.75" customHeight="1">
      <c r="A34" s="87">
        <v>32.0</v>
      </c>
      <c r="B34" s="88" t="s">
        <v>65</v>
      </c>
      <c r="C34" s="88"/>
    </row>
    <row r="35" ht="15.75" customHeight="1">
      <c r="A35" s="85">
        <v>33.0</v>
      </c>
      <c r="B35" s="86" t="s">
        <v>66</v>
      </c>
      <c r="C35" s="86"/>
    </row>
    <row r="36" ht="15.75" customHeight="1">
      <c r="A36" s="87">
        <v>34.0</v>
      </c>
      <c r="B36" s="88" t="s">
        <v>67</v>
      </c>
      <c r="C36" s="88"/>
    </row>
    <row r="37" ht="15.75" customHeight="1">
      <c r="A37" s="85">
        <v>35.0</v>
      </c>
      <c r="B37" s="86" t="s">
        <v>68</v>
      </c>
      <c r="C37" s="86"/>
    </row>
    <row r="38" ht="15.75" customHeight="1">
      <c r="A38" s="87">
        <v>36.0</v>
      </c>
      <c r="B38" s="88" t="s">
        <v>69</v>
      </c>
      <c r="C38" s="88"/>
    </row>
    <row r="39" ht="15.75" customHeight="1">
      <c r="A39" s="85">
        <v>37.0</v>
      </c>
      <c r="B39" s="86" t="s">
        <v>70</v>
      </c>
      <c r="C39" s="86"/>
    </row>
    <row r="40" ht="15.75" customHeight="1">
      <c r="A40" s="87">
        <v>38.0</v>
      </c>
      <c r="B40" s="88" t="s">
        <v>71</v>
      </c>
      <c r="C40" s="88"/>
    </row>
    <row r="41" ht="15.75" customHeight="1">
      <c r="A41" s="85">
        <v>39.0</v>
      </c>
      <c r="B41" s="86" t="s">
        <v>72</v>
      </c>
      <c r="C41" s="86"/>
    </row>
    <row r="42" ht="15.75" customHeight="1">
      <c r="A42" s="87">
        <v>40.0</v>
      </c>
      <c r="B42" s="88" t="s">
        <v>73</v>
      </c>
      <c r="C42" s="88"/>
    </row>
    <row r="43" ht="15.75" customHeight="1">
      <c r="A43" s="85">
        <v>41.0</v>
      </c>
      <c r="B43" s="86" t="s">
        <v>74</v>
      </c>
      <c r="C43" s="86"/>
    </row>
    <row r="44" ht="15.75" customHeight="1">
      <c r="A44" s="87">
        <v>42.0</v>
      </c>
      <c r="B44" s="88" t="s">
        <v>75</v>
      </c>
      <c r="C44" s="88"/>
    </row>
    <row r="45" ht="15.75" customHeight="1">
      <c r="A45" s="85">
        <v>43.0</v>
      </c>
      <c r="B45" s="86" t="s">
        <v>76</v>
      </c>
      <c r="C45" s="86"/>
    </row>
    <row r="46" ht="15.75" customHeight="1">
      <c r="A46" s="87">
        <v>44.0</v>
      </c>
      <c r="B46" s="88" t="s">
        <v>77</v>
      </c>
      <c r="C46" s="88"/>
    </row>
    <row r="47" ht="15.75" customHeight="1">
      <c r="A47" s="85">
        <v>45.0</v>
      </c>
      <c r="B47" s="86" t="s">
        <v>78</v>
      </c>
      <c r="C47" s="86"/>
    </row>
    <row r="48" ht="15.75" customHeight="1">
      <c r="A48" s="87">
        <v>46.0</v>
      </c>
      <c r="B48" s="88" t="s">
        <v>79</v>
      </c>
      <c r="C48" s="88"/>
    </row>
    <row r="49" ht="15.75" customHeight="1">
      <c r="A49" s="85">
        <v>47.0</v>
      </c>
      <c r="B49" s="86" t="s">
        <v>80</v>
      </c>
      <c r="C49" s="86"/>
    </row>
    <row r="50" ht="15.75" customHeight="1">
      <c r="A50" s="87">
        <v>48.0</v>
      </c>
      <c r="B50" s="88" t="s">
        <v>81</v>
      </c>
      <c r="C50" s="88"/>
    </row>
    <row r="51" ht="15.75" customHeight="1">
      <c r="A51" s="85">
        <v>49.0</v>
      </c>
      <c r="B51" s="86" t="s">
        <v>82</v>
      </c>
      <c r="C51" s="86"/>
    </row>
    <row r="52" ht="15.75" customHeight="1">
      <c r="A52" s="87">
        <v>50.0</v>
      </c>
      <c r="B52" s="88" t="s">
        <v>83</v>
      </c>
      <c r="C52" s="88"/>
    </row>
    <row r="53" ht="15.75" customHeight="1">
      <c r="A53" s="85">
        <v>51.0</v>
      </c>
      <c r="B53" s="86" t="s">
        <v>84</v>
      </c>
      <c r="C53" s="86"/>
    </row>
    <row r="54" ht="15.75" customHeight="1">
      <c r="A54" s="87">
        <v>52.0</v>
      </c>
      <c r="B54" s="88" t="s">
        <v>85</v>
      </c>
      <c r="C54" s="88"/>
    </row>
    <row r="55" ht="15.75" customHeight="1">
      <c r="A55" s="85">
        <v>53.0</v>
      </c>
      <c r="B55" s="86" t="s">
        <v>86</v>
      </c>
      <c r="C55" s="86"/>
    </row>
    <row r="56" ht="15.75" customHeight="1">
      <c r="A56" s="87">
        <v>54.0</v>
      </c>
      <c r="B56" s="88" t="s">
        <v>87</v>
      </c>
      <c r="C56" s="88"/>
    </row>
    <row r="57" ht="15.75" customHeight="1">
      <c r="A57" s="85">
        <v>55.0</v>
      </c>
      <c r="B57" s="86" t="s">
        <v>88</v>
      </c>
      <c r="C57" s="86"/>
    </row>
    <row r="58" ht="15.75" customHeight="1">
      <c r="A58" s="87">
        <v>56.0</v>
      </c>
      <c r="B58" s="88" t="s">
        <v>89</v>
      </c>
      <c r="C58" s="88"/>
    </row>
    <row r="59" ht="15.75" customHeight="1">
      <c r="A59" s="85">
        <v>57.0</v>
      </c>
      <c r="B59" s="86" t="s">
        <v>90</v>
      </c>
      <c r="C59" s="86" t="s">
        <v>33</v>
      </c>
    </row>
    <row r="60" ht="15.75" customHeight="1">
      <c r="A60" s="87">
        <v>58.0</v>
      </c>
      <c r="B60" s="88" t="s">
        <v>91</v>
      </c>
      <c r="C60" s="88" t="s">
        <v>33</v>
      </c>
    </row>
    <row r="61" ht="15.75" customHeight="1">
      <c r="A61" s="89"/>
      <c r="B61" s="90"/>
      <c r="C61" s="90"/>
    </row>
    <row r="62" ht="15.75" customHeight="1">
      <c r="A62" s="89"/>
      <c r="B62" s="90"/>
      <c r="C62" s="90"/>
    </row>
    <row r="63" ht="15.75" customHeight="1">
      <c r="A63" s="89"/>
      <c r="B63" s="90"/>
      <c r="C63" s="90"/>
    </row>
    <row r="64" ht="15.75" customHeight="1">
      <c r="A64" s="89"/>
      <c r="B64" s="90"/>
      <c r="C64" s="90"/>
    </row>
    <row r="65" ht="15.75" customHeight="1">
      <c r="A65" s="89"/>
      <c r="B65" s="90"/>
      <c r="C65" s="90"/>
    </row>
    <row r="66" ht="15.75" customHeight="1">
      <c r="A66" s="89"/>
      <c r="B66" s="90"/>
      <c r="C66" s="90"/>
    </row>
    <row r="67" ht="15.75" customHeight="1">
      <c r="A67" s="89"/>
      <c r="B67" s="90"/>
      <c r="C67" s="90"/>
    </row>
    <row r="68" ht="15.75" customHeight="1">
      <c r="A68" s="89"/>
      <c r="B68" s="90"/>
      <c r="C68" s="90"/>
    </row>
    <row r="69" ht="15.75" customHeight="1">
      <c r="A69" s="89"/>
      <c r="B69" s="90"/>
      <c r="C69" s="90"/>
    </row>
    <row r="70" ht="15.75" customHeight="1">
      <c r="A70" s="89"/>
      <c r="B70" s="90"/>
      <c r="C70" s="90"/>
    </row>
    <row r="71" ht="15.75" customHeight="1">
      <c r="A71" s="89"/>
      <c r="B71" s="90"/>
      <c r="C71" s="90"/>
    </row>
    <row r="72" ht="15.75" customHeight="1">
      <c r="A72" s="89"/>
      <c r="B72" s="90"/>
      <c r="C72" s="90"/>
    </row>
    <row r="73" ht="15.75" customHeight="1">
      <c r="A73" s="89"/>
      <c r="B73" s="90"/>
      <c r="C73" s="90"/>
    </row>
    <row r="74" ht="15.75" customHeight="1">
      <c r="A74" s="89"/>
      <c r="B74" s="90"/>
      <c r="C74" s="90"/>
    </row>
    <row r="75" ht="15.75" customHeight="1">
      <c r="A75" s="89"/>
      <c r="B75" s="90"/>
      <c r="C75" s="90"/>
    </row>
    <row r="76" ht="15.75" customHeight="1">
      <c r="A76" s="89"/>
      <c r="B76" s="90"/>
      <c r="C76" s="90"/>
    </row>
    <row r="77" ht="15.75" customHeight="1">
      <c r="A77" s="89"/>
      <c r="B77" s="90"/>
      <c r="C77" s="90"/>
    </row>
    <row r="78" ht="15.75" customHeight="1">
      <c r="A78" s="89"/>
      <c r="B78" s="90"/>
      <c r="C78" s="90"/>
    </row>
    <row r="79" ht="15.75" customHeight="1">
      <c r="A79" s="89"/>
      <c r="B79" s="90"/>
      <c r="C79" s="90"/>
    </row>
    <row r="80" ht="15.75" customHeight="1">
      <c r="A80" s="89"/>
      <c r="B80" s="90"/>
      <c r="C80" s="90"/>
    </row>
    <row r="81" ht="15.75" customHeight="1">
      <c r="A81" s="89"/>
      <c r="B81" s="90"/>
      <c r="C81" s="90"/>
    </row>
    <row r="82" ht="15.75" customHeight="1">
      <c r="A82" s="89"/>
      <c r="B82" s="90"/>
      <c r="C82" s="90"/>
    </row>
    <row r="83" ht="15.75" customHeight="1">
      <c r="A83" s="89"/>
      <c r="B83" s="90"/>
      <c r="C83" s="90"/>
    </row>
    <row r="84" ht="15.75" customHeight="1">
      <c r="A84" s="89"/>
      <c r="B84" s="90"/>
      <c r="C84" s="90"/>
    </row>
    <row r="85" ht="15.75" customHeight="1">
      <c r="A85" s="89"/>
      <c r="B85" s="90"/>
      <c r="C85" s="90"/>
    </row>
    <row r="86" ht="15.75" customHeight="1">
      <c r="A86" s="89"/>
      <c r="B86" s="90"/>
      <c r="C86" s="90"/>
    </row>
    <row r="87" ht="15.75" customHeight="1">
      <c r="A87" s="89"/>
      <c r="B87" s="90"/>
      <c r="C87" s="90"/>
    </row>
    <row r="88" ht="15.75" customHeight="1">
      <c r="A88" s="89"/>
      <c r="B88" s="90"/>
      <c r="C88" s="90"/>
    </row>
    <row r="89" ht="15.75" customHeight="1">
      <c r="A89" s="89"/>
      <c r="B89" s="90"/>
      <c r="C89" s="90"/>
    </row>
    <row r="90" ht="15.75" customHeight="1">
      <c r="A90" s="89"/>
      <c r="B90" s="90"/>
      <c r="C90" s="90"/>
    </row>
    <row r="91" ht="15.75" customHeight="1">
      <c r="A91" s="89"/>
      <c r="B91" s="90"/>
      <c r="C91" s="90"/>
    </row>
    <row r="92" ht="15.75" customHeight="1">
      <c r="A92" s="89"/>
      <c r="B92" s="90"/>
      <c r="C92" s="90"/>
    </row>
    <row r="93" ht="15.75" customHeight="1">
      <c r="A93" s="89"/>
      <c r="B93" s="90"/>
      <c r="C93" s="90"/>
    </row>
    <row r="94" ht="15.75" customHeight="1">
      <c r="A94" s="89"/>
      <c r="B94" s="90"/>
      <c r="C94" s="90"/>
    </row>
    <row r="95" ht="15.75" customHeight="1">
      <c r="A95" s="89"/>
      <c r="B95" s="90"/>
      <c r="C95" s="90"/>
    </row>
    <row r="96" ht="15.75" customHeight="1">
      <c r="A96" s="89"/>
      <c r="B96" s="90"/>
      <c r="C96" s="90"/>
    </row>
    <row r="97" ht="15.75" customHeight="1">
      <c r="A97" s="89"/>
      <c r="B97" s="90"/>
      <c r="C97" s="90"/>
    </row>
    <row r="98" ht="15.75" customHeight="1">
      <c r="A98" s="89"/>
      <c r="B98" s="90"/>
      <c r="C98" s="90"/>
    </row>
    <row r="99" ht="15.75" customHeight="1">
      <c r="A99" s="89"/>
      <c r="B99" s="90"/>
      <c r="C99" s="90"/>
    </row>
    <row r="100" ht="15.75" customHeight="1">
      <c r="A100" s="89"/>
      <c r="B100" s="90"/>
      <c r="C100" s="90"/>
    </row>
    <row r="101" ht="15.75" customHeight="1">
      <c r="A101" s="89"/>
      <c r="B101" s="90"/>
      <c r="C101" s="90"/>
    </row>
    <row r="102" ht="15.75" customHeight="1">
      <c r="A102" s="89"/>
      <c r="B102" s="90"/>
      <c r="C102" s="90"/>
    </row>
    <row r="103" ht="15.75" customHeight="1">
      <c r="A103" s="89"/>
      <c r="B103" s="90"/>
      <c r="C103" s="90"/>
    </row>
    <row r="104" ht="15.75" customHeight="1">
      <c r="A104" s="89"/>
      <c r="B104" s="90"/>
      <c r="C104" s="90"/>
    </row>
    <row r="105" ht="15.75" customHeight="1">
      <c r="A105" s="89"/>
      <c r="B105" s="90"/>
      <c r="C105" s="90"/>
    </row>
    <row r="106" ht="15.75" customHeight="1">
      <c r="A106" s="89"/>
      <c r="B106" s="90"/>
      <c r="C106" s="90"/>
    </row>
    <row r="107" ht="15.75" customHeight="1">
      <c r="A107" s="89"/>
      <c r="B107" s="90"/>
      <c r="C107" s="90"/>
    </row>
    <row r="108" ht="15.75" customHeight="1">
      <c r="A108" s="89"/>
      <c r="B108" s="90"/>
      <c r="C108" s="90"/>
    </row>
    <row r="109" ht="15.75" customHeight="1">
      <c r="A109" s="89"/>
      <c r="B109" s="90"/>
      <c r="C109" s="90"/>
    </row>
    <row r="110" ht="15.75" customHeight="1">
      <c r="A110" s="89"/>
      <c r="B110" s="90"/>
      <c r="C110" s="90"/>
    </row>
    <row r="111" ht="15.75" customHeight="1">
      <c r="A111" s="89"/>
      <c r="B111" s="90"/>
      <c r="C111" s="90"/>
    </row>
    <row r="112" ht="15.75" customHeight="1">
      <c r="A112" s="89"/>
      <c r="B112" s="90"/>
      <c r="C112" s="90"/>
    </row>
    <row r="113" ht="15.75" customHeight="1">
      <c r="A113" s="89"/>
      <c r="B113" s="90"/>
      <c r="C113" s="90"/>
    </row>
    <row r="114" ht="15.75" customHeight="1">
      <c r="A114" s="89"/>
      <c r="B114" s="90"/>
      <c r="C114" s="90"/>
    </row>
    <row r="115" ht="15.75" customHeight="1">
      <c r="A115" s="89"/>
      <c r="B115" s="90"/>
      <c r="C115" s="90"/>
    </row>
    <row r="116" ht="15.75" customHeight="1">
      <c r="A116" s="89"/>
      <c r="B116" s="90"/>
      <c r="C116" s="90"/>
    </row>
    <row r="117" ht="15.75" customHeight="1">
      <c r="A117" s="89"/>
      <c r="B117" s="90"/>
      <c r="C117" s="90"/>
    </row>
    <row r="118" ht="15.75" customHeight="1">
      <c r="A118" s="89"/>
      <c r="B118" s="90"/>
      <c r="C118" s="90"/>
    </row>
    <row r="119" ht="15.75" customHeight="1">
      <c r="A119" s="89"/>
      <c r="B119" s="90"/>
      <c r="C119" s="90"/>
    </row>
    <row r="120" ht="15.75" customHeight="1">
      <c r="A120" s="89"/>
      <c r="B120" s="90"/>
      <c r="C120" s="90"/>
    </row>
    <row r="121" ht="15.75" customHeight="1">
      <c r="A121" s="89"/>
      <c r="B121" s="90"/>
      <c r="C121" s="90"/>
    </row>
    <row r="122" ht="15.75" customHeight="1">
      <c r="A122" s="89"/>
      <c r="B122" s="90"/>
      <c r="C122" s="90"/>
    </row>
    <row r="123" ht="15.75" customHeight="1">
      <c r="A123" s="89"/>
      <c r="B123" s="90"/>
      <c r="C123" s="90"/>
    </row>
    <row r="124" ht="15.75" customHeight="1">
      <c r="A124" s="89"/>
      <c r="B124" s="90"/>
      <c r="C124" s="90"/>
    </row>
    <row r="125" ht="15.75" customHeight="1">
      <c r="A125" s="89"/>
      <c r="B125" s="90"/>
      <c r="C125" s="90"/>
    </row>
    <row r="126" ht="15.75" customHeight="1">
      <c r="A126" s="89"/>
      <c r="B126" s="90"/>
      <c r="C126" s="90"/>
    </row>
    <row r="127" ht="15.75" customHeight="1">
      <c r="A127" s="89"/>
      <c r="B127" s="90"/>
      <c r="C127" s="90"/>
    </row>
    <row r="128" ht="15.75" customHeight="1">
      <c r="A128" s="89"/>
      <c r="B128" s="90"/>
      <c r="C128" s="90"/>
    </row>
    <row r="129" ht="15.75" customHeight="1">
      <c r="A129" s="89"/>
      <c r="B129" s="90"/>
      <c r="C129" s="90"/>
    </row>
    <row r="130" ht="15.75" customHeight="1">
      <c r="A130" s="89"/>
      <c r="B130" s="90"/>
      <c r="C130" s="90"/>
    </row>
    <row r="131" ht="15.75" customHeight="1">
      <c r="A131" s="89"/>
      <c r="B131" s="90"/>
      <c r="C131" s="90"/>
    </row>
    <row r="132" ht="15.75" customHeight="1">
      <c r="A132" s="89"/>
      <c r="B132" s="90"/>
      <c r="C132" s="90"/>
    </row>
    <row r="133" ht="15.75" customHeight="1">
      <c r="A133" s="89"/>
      <c r="B133" s="90"/>
      <c r="C133" s="90"/>
    </row>
    <row r="134" ht="15.75" customHeight="1">
      <c r="A134" s="89"/>
      <c r="B134" s="90"/>
      <c r="C134" s="90"/>
    </row>
    <row r="135" ht="15.75" customHeight="1">
      <c r="A135" s="89"/>
      <c r="B135" s="90"/>
      <c r="C135" s="90"/>
    </row>
    <row r="136" ht="15.75" customHeight="1">
      <c r="A136" s="89"/>
      <c r="B136" s="90"/>
      <c r="C136" s="90"/>
    </row>
    <row r="137" ht="15.75" customHeight="1">
      <c r="A137" s="89"/>
      <c r="B137" s="90"/>
      <c r="C137" s="90"/>
    </row>
    <row r="138" ht="15.75" customHeight="1">
      <c r="A138" s="89"/>
      <c r="B138" s="90"/>
      <c r="C138" s="90"/>
    </row>
    <row r="139" ht="15.75" customHeight="1">
      <c r="A139" s="89"/>
      <c r="B139" s="90"/>
      <c r="C139" s="90"/>
    </row>
    <row r="140" ht="15.75" customHeight="1">
      <c r="A140" s="89"/>
      <c r="B140" s="90"/>
      <c r="C140" s="90"/>
    </row>
    <row r="141" ht="15.75" customHeight="1">
      <c r="A141" s="89"/>
      <c r="B141" s="90"/>
      <c r="C141" s="90"/>
    </row>
    <row r="142" ht="15.75" customHeight="1">
      <c r="A142" s="89"/>
      <c r="B142" s="90"/>
      <c r="C142" s="90"/>
    </row>
    <row r="143" ht="15.75" customHeight="1">
      <c r="A143" s="89"/>
      <c r="B143" s="90"/>
      <c r="C143" s="90"/>
    </row>
    <row r="144" ht="15.75" customHeight="1">
      <c r="A144" s="89"/>
      <c r="B144" s="90"/>
      <c r="C144" s="90"/>
    </row>
    <row r="145" ht="15.75" customHeight="1">
      <c r="A145" s="89"/>
      <c r="B145" s="90"/>
      <c r="C145" s="90"/>
    </row>
    <row r="146" ht="15.75" customHeight="1">
      <c r="A146" s="89"/>
      <c r="B146" s="90"/>
      <c r="C146" s="90"/>
    </row>
    <row r="147" ht="15.75" customHeight="1">
      <c r="A147" s="89"/>
      <c r="B147" s="90"/>
      <c r="C147" s="90"/>
    </row>
    <row r="148" ht="15.75" customHeight="1">
      <c r="A148" s="89"/>
      <c r="B148" s="90"/>
      <c r="C148" s="90"/>
    </row>
    <row r="149" ht="15.75" customHeight="1">
      <c r="A149" s="89"/>
      <c r="B149" s="90"/>
      <c r="C149" s="90"/>
    </row>
    <row r="150" ht="15.75" customHeight="1">
      <c r="A150" s="89"/>
      <c r="B150" s="90"/>
      <c r="C150" s="90"/>
    </row>
    <row r="151" ht="15.75" customHeight="1">
      <c r="A151" s="89"/>
      <c r="B151" s="90"/>
      <c r="C151" s="90"/>
    </row>
    <row r="152" ht="15.75" customHeight="1">
      <c r="A152" s="89"/>
      <c r="B152" s="90"/>
      <c r="C152" s="90"/>
    </row>
    <row r="153" ht="15.75" customHeight="1">
      <c r="A153" s="89"/>
      <c r="B153" s="90"/>
      <c r="C153" s="90"/>
    </row>
    <row r="154" ht="15.75" customHeight="1">
      <c r="A154" s="89"/>
      <c r="B154" s="90"/>
      <c r="C154" s="90"/>
    </row>
    <row r="155" ht="15.75" customHeight="1">
      <c r="A155" s="89"/>
      <c r="B155" s="90"/>
      <c r="C155" s="90"/>
    </row>
    <row r="156" ht="15.75" customHeight="1">
      <c r="A156" s="89"/>
      <c r="B156" s="90"/>
      <c r="C156" s="90"/>
    </row>
    <row r="157" ht="15.75" customHeight="1">
      <c r="A157" s="89"/>
      <c r="B157" s="90"/>
      <c r="C157" s="90"/>
    </row>
    <row r="158" ht="15.75" customHeight="1">
      <c r="A158" s="89"/>
      <c r="B158" s="90"/>
      <c r="C158" s="90"/>
    </row>
    <row r="159" ht="15.75" customHeight="1">
      <c r="A159" s="89"/>
      <c r="B159" s="90"/>
      <c r="C159" s="90"/>
    </row>
    <row r="160" ht="15.75" customHeight="1">
      <c r="A160" s="89"/>
      <c r="B160" s="90"/>
      <c r="C160" s="90"/>
    </row>
    <row r="161" ht="15.75" customHeight="1">
      <c r="A161" s="89"/>
      <c r="B161" s="90"/>
      <c r="C161" s="90"/>
    </row>
    <row r="162" ht="15.75" customHeight="1">
      <c r="A162" s="89"/>
      <c r="B162" s="90"/>
      <c r="C162" s="90"/>
    </row>
    <row r="163" ht="15.75" customHeight="1">
      <c r="A163" s="89"/>
      <c r="B163" s="90"/>
      <c r="C163" s="90"/>
    </row>
    <row r="164" ht="15.75" customHeight="1">
      <c r="A164" s="89"/>
      <c r="B164" s="90"/>
      <c r="C164" s="90"/>
    </row>
    <row r="165" ht="15.75" customHeight="1">
      <c r="A165" s="89"/>
      <c r="B165" s="90"/>
      <c r="C165" s="90"/>
    </row>
    <row r="166" ht="15.75" customHeight="1">
      <c r="A166" s="89"/>
      <c r="B166" s="90"/>
      <c r="C166" s="90"/>
    </row>
    <row r="167" ht="15.75" customHeight="1">
      <c r="A167" s="89"/>
      <c r="B167" s="90"/>
      <c r="C167" s="90"/>
    </row>
    <row r="168" ht="15.75" customHeight="1">
      <c r="A168" s="89"/>
      <c r="B168" s="90"/>
      <c r="C168" s="90"/>
    </row>
    <row r="169" ht="15.75" customHeight="1">
      <c r="A169" s="89"/>
      <c r="B169" s="90"/>
      <c r="C169" s="90"/>
    </row>
    <row r="170" ht="15.75" customHeight="1">
      <c r="A170" s="89"/>
      <c r="B170" s="90"/>
      <c r="C170" s="90"/>
    </row>
    <row r="171" ht="15.75" customHeight="1">
      <c r="A171" s="89"/>
      <c r="B171" s="90"/>
      <c r="C171" s="90"/>
    </row>
    <row r="172" ht="15.75" customHeight="1">
      <c r="A172" s="89"/>
      <c r="B172" s="90"/>
      <c r="C172" s="90"/>
    </row>
    <row r="173" ht="15.75" customHeight="1">
      <c r="A173" s="89"/>
      <c r="B173" s="90"/>
      <c r="C173" s="90"/>
    </row>
    <row r="174" ht="15.75" customHeight="1">
      <c r="A174" s="89"/>
      <c r="B174" s="90"/>
      <c r="C174" s="90"/>
    </row>
    <row r="175" ht="15.75" customHeight="1">
      <c r="A175" s="89"/>
      <c r="B175" s="90"/>
      <c r="C175" s="90"/>
    </row>
    <row r="176" ht="15.75" customHeight="1">
      <c r="A176" s="89"/>
      <c r="B176" s="90"/>
      <c r="C176" s="90"/>
    </row>
    <row r="177" ht="15.75" customHeight="1">
      <c r="A177" s="89"/>
      <c r="B177" s="90"/>
      <c r="C177" s="90"/>
    </row>
    <row r="178" ht="15.75" customHeight="1">
      <c r="A178" s="89"/>
      <c r="B178" s="90"/>
      <c r="C178" s="90"/>
    </row>
    <row r="179" ht="15.75" customHeight="1">
      <c r="A179" s="89"/>
      <c r="B179" s="90"/>
      <c r="C179" s="90"/>
    </row>
    <row r="180" ht="15.75" customHeight="1">
      <c r="A180" s="89"/>
      <c r="B180" s="90"/>
      <c r="C180" s="90"/>
    </row>
    <row r="181" ht="15.75" customHeight="1">
      <c r="A181" s="89"/>
      <c r="B181" s="90"/>
      <c r="C181" s="90"/>
    </row>
    <row r="182" ht="15.75" customHeight="1">
      <c r="A182" s="89"/>
      <c r="B182" s="90"/>
      <c r="C182" s="90"/>
    </row>
    <row r="183" ht="15.75" customHeight="1">
      <c r="A183" s="89"/>
      <c r="B183" s="90"/>
      <c r="C183" s="90"/>
    </row>
    <row r="184" ht="15.75" customHeight="1">
      <c r="A184" s="89"/>
      <c r="B184" s="90"/>
      <c r="C184" s="90"/>
    </row>
    <row r="185" ht="15.75" customHeight="1">
      <c r="A185" s="89"/>
      <c r="B185" s="90"/>
      <c r="C185" s="90"/>
    </row>
    <row r="186" ht="15.75" customHeight="1">
      <c r="A186" s="89"/>
      <c r="B186" s="90"/>
      <c r="C186" s="90"/>
    </row>
    <row r="187" ht="15.75" customHeight="1">
      <c r="A187" s="89"/>
      <c r="B187" s="90"/>
      <c r="C187" s="90"/>
    </row>
    <row r="188" ht="15.75" customHeight="1">
      <c r="A188" s="89"/>
      <c r="B188" s="90"/>
      <c r="C188" s="90"/>
    </row>
    <row r="189" ht="15.75" customHeight="1">
      <c r="A189" s="89"/>
      <c r="B189" s="90"/>
      <c r="C189" s="90"/>
    </row>
    <row r="190" ht="15.75" customHeight="1">
      <c r="A190" s="89"/>
      <c r="B190" s="90"/>
      <c r="C190" s="90"/>
    </row>
    <row r="191" ht="15.75" customHeight="1">
      <c r="A191" s="89"/>
      <c r="B191" s="90"/>
      <c r="C191" s="90"/>
    </row>
    <row r="192" ht="15.75" customHeight="1">
      <c r="A192" s="89"/>
      <c r="B192" s="90"/>
      <c r="C192" s="90"/>
    </row>
    <row r="193" ht="15.75" customHeight="1">
      <c r="A193" s="89"/>
      <c r="B193" s="90"/>
      <c r="C193" s="90"/>
    </row>
    <row r="194" ht="15.75" customHeight="1">
      <c r="A194" s="89"/>
      <c r="B194" s="90"/>
      <c r="C194" s="90"/>
    </row>
    <row r="195" ht="15.75" customHeight="1">
      <c r="A195" s="89"/>
      <c r="B195" s="90"/>
      <c r="C195" s="90"/>
    </row>
    <row r="196" ht="15.75" customHeight="1">
      <c r="A196" s="89"/>
      <c r="B196" s="90"/>
      <c r="C196" s="90"/>
    </row>
    <row r="197" ht="15.75" customHeight="1">
      <c r="A197" s="89"/>
      <c r="B197" s="90"/>
      <c r="C197" s="90"/>
    </row>
    <row r="198" ht="15.75" customHeight="1">
      <c r="A198" s="89"/>
      <c r="B198" s="90"/>
      <c r="C198" s="90"/>
    </row>
    <row r="199" ht="15.75" customHeight="1">
      <c r="A199" s="89"/>
      <c r="B199" s="90"/>
      <c r="C199" s="90"/>
    </row>
    <row r="200" ht="15.75" customHeight="1">
      <c r="A200" s="89"/>
      <c r="B200" s="90"/>
      <c r="C200" s="90"/>
    </row>
    <row r="201" ht="15.75" customHeight="1">
      <c r="A201" s="89"/>
      <c r="B201" s="90"/>
      <c r="C201" s="90"/>
    </row>
    <row r="202" ht="15.75" customHeight="1">
      <c r="A202" s="89"/>
      <c r="B202" s="90"/>
      <c r="C202" s="90"/>
    </row>
    <row r="203" ht="15.75" customHeight="1">
      <c r="A203" s="89"/>
      <c r="B203" s="90"/>
      <c r="C203" s="90"/>
    </row>
    <row r="204" ht="15.75" customHeight="1">
      <c r="A204" s="89"/>
      <c r="B204" s="90"/>
      <c r="C204" s="90"/>
    </row>
    <row r="205" ht="15.75" customHeight="1">
      <c r="A205" s="89"/>
      <c r="B205" s="90"/>
      <c r="C205" s="90"/>
    </row>
    <row r="206" ht="15.75" customHeight="1">
      <c r="A206" s="89"/>
      <c r="B206" s="90"/>
      <c r="C206" s="90"/>
    </row>
    <row r="207" ht="15.75" customHeight="1">
      <c r="A207" s="89"/>
      <c r="B207" s="90"/>
      <c r="C207" s="90"/>
    </row>
    <row r="208" ht="15.75" customHeight="1">
      <c r="A208" s="89"/>
      <c r="B208" s="90"/>
      <c r="C208" s="90"/>
    </row>
    <row r="209" ht="15.75" customHeight="1">
      <c r="A209" s="89"/>
      <c r="B209" s="90"/>
      <c r="C209" s="90"/>
    </row>
    <row r="210" ht="15.75" customHeight="1">
      <c r="A210" s="89"/>
      <c r="B210" s="90"/>
      <c r="C210" s="90"/>
    </row>
    <row r="211" ht="15.75" customHeight="1">
      <c r="A211" s="89"/>
      <c r="B211" s="90"/>
      <c r="C211" s="90"/>
    </row>
    <row r="212" ht="15.75" customHeight="1">
      <c r="A212" s="89"/>
      <c r="B212" s="90"/>
      <c r="C212" s="90"/>
    </row>
    <row r="213" ht="15.75" customHeight="1">
      <c r="A213" s="89"/>
      <c r="B213" s="90"/>
      <c r="C213" s="90"/>
    </row>
    <row r="214" ht="15.75" customHeight="1">
      <c r="A214" s="89"/>
      <c r="B214" s="90"/>
      <c r="C214" s="90"/>
    </row>
    <row r="215" ht="15.75" customHeight="1">
      <c r="A215" s="89"/>
      <c r="B215" s="90"/>
      <c r="C215" s="90"/>
    </row>
    <row r="216" ht="15.75" customHeight="1">
      <c r="A216" s="89"/>
      <c r="B216" s="90"/>
      <c r="C216" s="90"/>
    </row>
    <row r="217" ht="15.75" customHeight="1">
      <c r="A217" s="89"/>
      <c r="B217" s="90"/>
      <c r="C217" s="90"/>
    </row>
    <row r="218" ht="15.75" customHeight="1">
      <c r="A218" s="89"/>
      <c r="B218" s="90"/>
      <c r="C218" s="90"/>
    </row>
    <row r="219" ht="15.75" customHeight="1">
      <c r="A219" s="89"/>
      <c r="B219" s="90"/>
      <c r="C219" s="90"/>
    </row>
    <row r="220" ht="15.75" customHeight="1">
      <c r="A220" s="89"/>
      <c r="B220" s="90"/>
      <c r="C220" s="90"/>
    </row>
    <row r="221" ht="15.75" customHeight="1">
      <c r="A221" s="89"/>
      <c r="B221" s="90"/>
      <c r="C221" s="90"/>
    </row>
    <row r="222" ht="15.75" customHeight="1">
      <c r="A222" s="89"/>
      <c r="B222" s="90"/>
      <c r="C222" s="90"/>
    </row>
    <row r="223" ht="15.75" customHeight="1">
      <c r="A223" s="89"/>
      <c r="B223" s="90"/>
      <c r="C223" s="90"/>
    </row>
    <row r="224" ht="15.75" customHeight="1">
      <c r="A224" s="89"/>
      <c r="B224" s="90"/>
      <c r="C224" s="90"/>
    </row>
    <row r="225" ht="15.75" customHeight="1">
      <c r="A225" s="89"/>
      <c r="B225" s="90"/>
      <c r="C225" s="90"/>
    </row>
    <row r="226" ht="15.75" customHeight="1">
      <c r="A226" s="89"/>
      <c r="B226" s="90"/>
      <c r="C226" s="90"/>
    </row>
    <row r="227" ht="15.75" customHeight="1">
      <c r="A227" s="89"/>
      <c r="B227" s="90"/>
      <c r="C227" s="90"/>
    </row>
    <row r="228" ht="15.75" customHeight="1">
      <c r="A228" s="89"/>
      <c r="B228" s="90"/>
      <c r="C228" s="90"/>
    </row>
    <row r="229" ht="15.75" customHeight="1">
      <c r="A229" s="89"/>
      <c r="B229" s="90"/>
      <c r="C229" s="90"/>
    </row>
    <row r="230" ht="15.75" customHeight="1">
      <c r="A230" s="89"/>
      <c r="B230" s="90"/>
      <c r="C230" s="90"/>
    </row>
    <row r="231" ht="15.75" customHeight="1">
      <c r="A231" s="89"/>
      <c r="B231" s="90"/>
      <c r="C231" s="90"/>
    </row>
    <row r="232" ht="15.75" customHeight="1">
      <c r="A232" s="89"/>
      <c r="B232" s="90"/>
      <c r="C232" s="90"/>
    </row>
    <row r="233" ht="15.75" customHeight="1">
      <c r="A233" s="89"/>
      <c r="B233" s="90"/>
      <c r="C233" s="90"/>
    </row>
    <row r="234" ht="15.75" customHeight="1">
      <c r="A234" s="89"/>
      <c r="B234" s="90"/>
      <c r="C234" s="90"/>
    </row>
    <row r="235" ht="15.75" customHeight="1">
      <c r="A235" s="89"/>
      <c r="B235" s="90"/>
      <c r="C235" s="90"/>
    </row>
    <row r="236" ht="15.75" customHeight="1">
      <c r="A236" s="89"/>
      <c r="B236" s="90"/>
      <c r="C236" s="90"/>
    </row>
    <row r="237" ht="15.75" customHeight="1">
      <c r="A237" s="89"/>
      <c r="B237" s="90"/>
      <c r="C237" s="90"/>
    </row>
    <row r="238" ht="15.75" customHeight="1">
      <c r="A238" s="89"/>
      <c r="B238" s="90"/>
      <c r="C238" s="90"/>
    </row>
    <row r="239" ht="15.75" customHeight="1">
      <c r="A239" s="89"/>
      <c r="B239" s="90"/>
      <c r="C239" s="90"/>
    </row>
    <row r="240" ht="15.75" customHeight="1">
      <c r="A240" s="89"/>
      <c r="B240" s="90"/>
      <c r="C240" s="90"/>
    </row>
    <row r="241" ht="15.75" customHeight="1">
      <c r="A241" s="89"/>
      <c r="B241" s="90"/>
      <c r="C241" s="90"/>
    </row>
    <row r="242" ht="15.75" customHeight="1">
      <c r="A242" s="89"/>
      <c r="B242" s="90"/>
      <c r="C242" s="90"/>
    </row>
    <row r="243" ht="15.75" customHeight="1">
      <c r="A243" s="89"/>
      <c r="B243" s="90"/>
      <c r="C243" s="90"/>
    </row>
    <row r="244" ht="15.75" customHeight="1">
      <c r="A244" s="89"/>
      <c r="B244" s="90"/>
      <c r="C244" s="90"/>
    </row>
    <row r="245" ht="15.75" customHeight="1">
      <c r="A245" s="89"/>
      <c r="B245" s="90"/>
      <c r="C245" s="90"/>
    </row>
    <row r="246" ht="15.75" customHeight="1">
      <c r="A246" s="89"/>
      <c r="B246" s="90"/>
      <c r="C246" s="90"/>
    </row>
    <row r="247" ht="15.75" customHeight="1">
      <c r="A247" s="89"/>
      <c r="B247" s="90"/>
      <c r="C247" s="90"/>
    </row>
    <row r="248" ht="15.75" customHeight="1">
      <c r="A248" s="89"/>
      <c r="B248" s="90"/>
      <c r="C248" s="90"/>
    </row>
    <row r="249" ht="15.75" customHeight="1">
      <c r="A249" s="89"/>
      <c r="B249" s="90"/>
      <c r="C249" s="90"/>
    </row>
    <row r="250" ht="15.75" customHeight="1">
      <c r="A250" s="89"/>
      <c r="B250" s="90"/>
      <c r="C250" s="90"/>
    </row>
    <row r="251" ht="15.75" customHeight="1">
      <c r="A251" s="89"/>
      <c r="B251" s="90"/>
      <c r="C251" s="90"/>
    </row>
    <row r="252" ht="15.75" customHeight="1">
      <c r="A252" s="89"/>
      <c r="B252" s="90"/>
      <c r="C252" s="90"/>
    </row>
    <row r="253" ht="15.75" customHeight="1">
      <c r="A253" s="89"/>
      <c r="B253" s="90"/>
      <c r="C253" s="90"/>
    </row>
    <row r="254" ht="15.75" customHeight="1">
      <c r="A254" s="89"/>
      <c r="B254" s="90"/>
      <c r="C254" s="90"/>
    </row>
    <row r="255" ht="15.75" customHeight="1">
      <c r="A255" s="89"/>
      <c r="B255" s="90"/>
      <c r="C255" s="90"/>
    </row>
    <row r="256" ht="15.75" customHeight="1">
      <c r="A256" s="89"/>
      <c r="B256" s="90"/>
      <c r="C256" s="90"/>
    </row>
    <row r="257" ht="15.75" customHeight="1">
      <c r="A257" s="89"/>
      <c r="B257" s="90"/>
      <c r="C257" s="90"/>
    </row>
    <row r="258" ht="15.75" customHeight="1">
      <c r="A258" s="89"/>
      <c r="B258" s="90"/>
      <c r="C258" s="90"/>
    </row>
    <row r="259" ht="15.75" customHeight="1">
      <c r="A259" s="89"/>
      <c r="B259" s="90"/>
      <c r="C259" s="90"/>
    </row>
    <row r="260" ht="15.75" customHeight="1">
      <c r="A260" s="89"/>
      <c r="B260" s="90"/>
      <c r="C260" s="90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